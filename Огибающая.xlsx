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odin\source\repos\MyVSTWorkspace\units\PluginGUI\"/>
    </mc:Choice>
  </mc:AlternateContent>
  <xr:revisionPtr revIDLastSave="0" documentId="13_ncr:1_{B4911C2E-6440-4533-824B-7012BDC39634}" xr6:coauthVersionLast="47" xr6:coauthVersionMax="47" xr10:uidLastSave="{00000000-0000-0000-0000-000000000000}"/>
  <bookViews>
    <workbookView xWindow="-120" yWindow="-120" windowWidth="38640" windowHeight="21120" xr2:uid="{B31F5675-58C2-40B1-B94B-5CCE8A451E66}"/>
  </bookViews>
  <sheets>
    <sheet name="Лист1" sheetId="1" r:id="rId1"/>
    <sheet name="distribution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B8" i="1"/>
  <c r="B7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G102" i="1" s="1"/>
  <c r="H102" i="1" s="1"/>
  <c r="D43" i="1" l="1"/>
  <c r="D46" i="1"/>
  <c r="D44" i="1"/>
  <c r="D42" i="1"/>
  <c r="D13" i="1"/>
  <c r="D12" i="1"/>
  <c r="D90" i="1"/>
  <c r="D45" i="1"/>
  <c r="D41" i="1"/>
  <c r="D73" i="1"/>
  <c r="D38" i="1"/>
  <c r="D37" i="1"/>
  <c r="D36" i="1"/>
  <c r="D26" i="1"/>
  <c r="D67" i="1"/>
  <c r="D25" i="1"/>
  <c r="D24" i="1"/>
  <c r="D19" i="1"/>
  <c r="D87" i="1"/>
  <c r="D86" i="1"/>
  <c r="D74" i="1"/>
  <c r="D40" i="1"/>
  <c r="D39" i="1"/>
  <c r="D70" i="1"/>
  <c r="D69" i="1"/>
  <c r="D68" i="1"/>
  <c r="D23" i="1"/>
  <c r="D64" i="1"/>
  <c r="D21" i="1"/>
  <c r="D62" i="1"/>
  <c r="D96" i="1"/>
  <c r="D95" i="1"/>
  <c r="D94" i="1"/>
  <c r="D49" i="1"/>
  <c r="D16" i="1"/>
  <c r="D66" i="1"/>
  <c r="D65" i="1"/>
  <c r="D22" i="1"/>
  <c r="D98" i="1"/>
  <c r="D97" i="1"/>
  <c r="D61" i="1"/>
  <c r="D60" i="1"/>
  <c r="D17" i="1"/>
  <c r="D93" i="1"/>
  <c r="D92" i="1"/>
  <c r="D48" i="1"/>
  <c r="D15" i="1"/>
  <c r="D89" i="1"/>
  <c r="D88" i="1"/>
  <c r="D72" i="1"/>
  <c r="D71" i="1"/>
  <c r="D63" i="1"/>
  <c r="D20" i="1"/>
  <c r="D18" i="1"/>
  <c r="D50" i="1"/>
  <c r="D91" i="1"/>
  <c r="D47" i="1"/>
  <c r="D14" i="1"/>
  <c r="D85" i="1"/>
  <c r="D84" i="1"/>
  <c r="D8" i="1"/>
  <c r="D79" i="1"/>
  <c r="D102" i="1"/>
  <c r="D6" i="1"/>
  <c r="D53" i="1"/>
  <c r="D29" i="1"/>
  <c r="D5" i="1"/>
  <c r="D83" i="1"/>
  <c r="D59" i="1"/>
  <c r="D35" i="1"/>
  <c r="D11" i="1"/>
  <c r="D82" i="1"/>
  <c r="D58" i="1"/>
  <c r="D34" i="1"/>
  <c r="D10" i="1"/>
  <c r="D81" i="1"/>
  <c r="D33" i="1"/>
  <c r="D56" i="1"/>
  <c r="D2" i="1"/>
  <c r="D31" i="1"/>
  <c r="D54" i="1"/>
  <c r="D77" i="1"/>
  <c r="D100" i="1"/>
  <c r="D76" i="1"/>
  <c r="D52" i="1"/>
  <c r="D28" i="1"/>
  <c r="D4" i="1"/>
  <c r="D57" i="1"/>
  <c r="D9" i="1"/>
  <c r="D80" i="1"/>
  <c r="D32" i="1"/>
  <c r="D55" i="1"/>
  <c r="D7" i="1"/>
  <c r="D78" i="1"/>
  <c r="D30" i="1"/>
  <c r="D101" i="1"/>
  <c r="D99" i="1"/>
  <c r="D75" i="1"/>
  <c r="D51" i="1"/>
  <c r="D27" i="1"/>
  <c r="D3" i="1"/>
  <c r="B10" i="1"/>
  <c r="B14" i="1" s="1"/>
  <c r="B11" i="1" l="1"/>
  <c r="B13" i="1" l="1"/>
  <c r="F2" i="1" s="1"/>
  <c r="G26" i="1"/>
  <c r="H26" i="1" s="1"/>
  <c r="G84" i="1"/>
  <c r="H84" i="1" s="1"/>
  <c r="F31" i="1"/>
  <c r="G15" i="1"/>
  <c r="H15" i="1" s="1"/>
  <c r="G71" i="1"/>
  <c r="H71" i="1" s="1"/>
  <c r="F81" i="1"/>
  <c r="G27" i="1"/>
  <c r="H27" i="1" s="1"/>
  <c r="G19" i="1"/>
  <c r="H19" i="1" s="1"/>
  <c r="G100" i="1"/>
  <c r="H100" i="1" s="1"/>
  <c r="E72" i="1"/>
  <c r="G82" i="1"/>
  <c r="H82" i="1" s="1"/>
  <c r="G78" i="1"/>
  <c r="H78" i="1" s="1"/>
  <c r="E91" i="1"/>
  <c r="G79" i="1"/>
  <c r="H79" i="1" s="1"/>
  <c r="F76" i="1"/>
  <c r="G42" i="1"/>
  <c r="H42" i="1" s="1"/>
  <c r="G32" i="1"/>
  <c r="H32" i="1" s="1"/>
  <c r="E93" i="1"/>
  <c r="G24" i="1"/>
  <c r="H24" i="1" s="1"/>
  <c r="F40" i="1"/>
  <c r="G22" i="1"/>
  <c r="H22" i="1" s="1"/>
  <c r="G98" i="1"/>
  <c r="H98" i="1" s="1"/>
  <c r="E92" i="1"/>
  <c r="E23" i="1"/>
  <c r="G61" i="1"/>
  <c r="H61" i="1" s="1"/>
  <c r="G92" i="1"/>
  <c r="H92" i="1" s="1"/>
  <c r="G62" i="1"/>
  <c r="H62" i="1" s="1"/>
  <c r="F78" i="1"/>
  <c r="G65" i="1"/>
  <c r="H65" i="1" s="1"/>
  <c r="F28" i="1"/>
  <c r="G5" i="1"/>
  <c r="H5" i="1" s="1"/>
  <c r="G40" i="1"/>
  <c r="H40" i="1" s="1"/>
  <c r="G6" i="1"/>
  <c r="H6" i="1" s="1"/>
  <c r="F61" i="1"/>
  <c r="G7" i="1"/>
  <c r="H7" i="1" s="1"/>
  <c r="G10" i="1"/>
  <c r="H10" i="1" s="1"/>
  <c r="G101" i="1"/>
  <c r="H101" i="1" s="1"/>
  <c r="F14" i="1"/>
  <c r="G83" i="1"/>
  <c r="H83" i="1" s="1"/>
  <c r="G60" i="1"/>
  <c r="H60" i="1" s="1"/>
  <c r="F80" i="1"/>
  <c r="G29" i="1"/>
  <c r="H29" i="1" s="1"/>
  <c r="F25" i="1"/>
  <c r="G59" i="1"/>
  <c r="H59" i="1" s="1"/>
  <c r="G68" i="1"/>
  <c r="H68" i="1" s="1"/>
  <c r="F79" i="1"/>
  <c r="F58" i="1"/>
  <c r="F60" i="1"/>
  <c r="F26" i="1"/>
  <c r="G58" i="1"/>
  <c r="H58" i="1" s="1"/>
  <c r="G69" i="1"/>
  <c r="H69" i="1" s="1"/>
  <c r="G52" i="1"/>
  <c r="H52" i="1" s="1"/>
  <c r="G31" i="1"/>
  <c r="H31" i="1" s="1"/>
  <c r="G55" i="1"/>
  <c r="H55" i="1" s="1"/>
  <c r="G37" i="1"/>
  <c r="H37" i="1" s="1"/>
  <c r="G44" i="1"/>
  <c r="H44" i="1" s="1"/>
  <c r="E67" i="1"/>
  <c r="G97" i="1"/>
  <c r="H97" i="1" s="1"/>
  <c r="G66" i="1"/>
  <c r="H66" i="1" s="1"/>
  <c r="G93" i="1"/>
  <c r="H93" i="1" s="1"/>
  <c r="G30" i="1"/>
  <c r="H30" i="1" s="1"/>
  <c r="G46" i="1"/>
  <c r="H46" i="1" s="1"/>
  <c r="G47" i="1"/>
  <c r="H47" i="1" s="1"/>
  <c r="G95" i="1"/>
  <c r="H95" i="1" s="1"/>
  <c r="G25" i="1"/>
  <c r="H25" i="1" s="1"/>
  <c r="G73" i="1"/>
  <c r="H73" i="1" s="1"/>
  <c r="G50" i="1"/>
  <c r="H50" i="1" s="1"/>
  <c r="G85" i="1"/>
  <c r="H85" i="1" s="1"/>
  <c r="G39" i="1"/>
  <c r="H39" i="1" s="1"/>
  <c r="G48" i="1"/>
  <c r="H48" i="1" s="1"/>
  <c r="G96" i="1"/>
  <c r="H96" i="1" s="1"/>
  <c r="G2" i="1"/>
  <c r="H2" i="1" s="1"/>
  <c r="E70" i="1"/>
  <c r="G75" i="1"/>
  <c r="H75" i="1" s="1"/>
  <c r="G3" i="1"/>
  <c r="H3" i="1" s="1"/>
  <c r="G38" i="1"/>
  <c r="H38" i="1" s="1"/>
  <c r="G14" i="1"/>
  <c r="H14" i="1" s="1"/>
  <c r="G90" i="1"/>
  <c r="H90" i="1" s="1"/>
  <c r="G91" i="1"/>
  <c r="H91" i="1" s="1"/>
  <c r="G43" i="1"/>
  <c r="H43" i="1" s="1"/>
  <c r="G34" i="1"/>
  <c r="H34" i="1" s="1"/>
  <c r="G99" i="1"/>
  <c r="H99" i="1" s="1"/>
  <c r="G87" i="1"/>
  <c r="H87" i="1" s="1"/>
  <c r="G18" i="1"/>
  <c r="H18" i="1" s="1"/>
  <c r="G35" i="1"/>
  <c r="H35" i="1" s="1"/>
  <c r="E50" i="1"/>
  <c r="E73" i="1"/>
  <c r="G67" i="1"/>
  <c r="H67" i="1" s="1"/>
  <c r="G80" i="1"/>
  <c r="H80" i="1" s="1"/>
  <c r="G16" i="1"/>
  <c r="H16" i="1" s="1"/>
  <c r="G33" i="1"/>
  <c r="H33" i="1" s="1"/>
  <c r="F77" i="1"/>
  <c r="G74" i="1"/>
  <c r="H74" i="1" s="1"/>
  <c r="G28" i="1"/>
  <c r="H28" i="1" s="1"/>
  <c r="G64" i="1"/>
  <c r="H64" i="1" s="1"/>
  <c r="G20" i="1"/>
  <c r="H20" i="1" s="1"/>
  <c r="G56" i="1"/>
  <c r="H56" i="1" s="1"/>
  <c r="G63" i="1"/>
  <c r="H63" i="1" s="1"/>
  <c r="G9" i="1"/>
  <c r="H9" i="1" s="1"/>
  <c r="G57" i="1"/>
  <c r="H57" i="1" s="1"/>
  <c r="E74" i="1"/>
  <c r="G77" i="1"/>
  <c r="H77" i="1" s="1"/>
  <c r="G76" i="1"/>
  <c r="H76" i="1" s="1"/>
  <c r="G41" i="1"/>
  <c r="H41" i="1" s="1"/>
  <c r="G8" i="1"/>
  <c r="H8" i="1" s="1"/>
  <c r="G36" i="1"/>
  <c r="H36" i="1" s="1"/>
  <c r="F32" i="1"/>
  <c r="F33" i="1"/>
  <c r="G13" i="1"/>
  <c r="H13" i="1" s="1"/>
  <c r="G72" i="1"/>
  <c r="H72" i="1" s="1"/>
  <c r="G17" i="1"/>
  <c r="H17" i="1" s="1"/>
  <c r="F41" i="1"/>
  <c r="G94" i="1"/>
  <c r="H94" i="1" s="1"/>
  <c r="G11" i="1"/>
  <c r="H11" i="1" s="1"/>
  <c r="G86" i="1"/>
  <c r="H86" i="1" s="1"/>
  <c r="G53" i="1"/>
  <c r="H53" i="1" s="1"/>
  <c r="G81" i="1"/>
  <c r="H81" i="1" s="1"/>
  <c r="G51" i="1"/>
  <c r="H51" i="1" s="1"/>
  <c r="G4" i="1"/>
  <c r="H4" i="1" s="1"/>
  <c r="G45" i="1"/>
  <c r="H45" i="1" s="1"/>
  <c r="G21" i="1"/>
  <c r="H21" i="1" s="1"/>
  <c r="G88" i="1"/>
  <c r="H88" i="1" s="1"/>
  <c r="G12" i="1"/>
  <c r="H12" i="1" s="1"/>
  <c r="G49" i="1"/>
  <c r="H49" i="1" s="1"/>
  <c r="G23" i="1"/>
  <c r="H23" i="1" s="1"/>
  <c r="F15" i="1"/>
  <c r="F82" i="1"/>
  <c r="F38" i="1"/>
  <c r="F72" i="1"/>
  <c r="E81" i="1"/>
  <c r="E14" i="1"/>
  <c r="E99" i="1"/>
  <c r="F96" i="1"/>
  <c r="E3" i="1"/>
  <c r="F68" i="1"/>
  <c r="E102" i="1"/>
  <c r="F20" i="1"/>
  <c r="E43" i="1"/>
  <c r="E41" i="1"/>
  <c r="F94" i="1"/>
  <c r="E62" i="1"/>
  <c r="E57" i="1"/>
  <c r="E9" i="1"/>
  <c r="F22" i="1"/>
  <c r="E4" i="1"/>
  <c r="F12" i="1"/>
  <c r="E55" i="1"/>
  <c r="F23" i="1"/>
  <c r="F50" i="1"/>
  <c r="E6" i="1"/>
  <c r="F75" i="1"/>
  <c r="F53" i="1"/>
  <c r="F42" i="1"/>
  <c r="E26" i="1"/>
  <c r="F48" i="1"/>
  <c r="E33" i="1"/>
  <c r="E85" i="1"/>
  <c r="E75" i="1"/>
  <c r="E61" i="1"/>
  <c r="E98" i="1"/>
  <c r="E24" i="1"/>
  <c r="E8" i="1"/>
  <c r="E27" i="1"/>
  <c r="F85" i="1"/>
  <c r="E79" i="1"/>
  <c r="E48" i="1"/>
  <c r="E31" i="1"/>
  <c r="E60" i="1"/>
  <c r="F4" i="1"/>
  <c r="E36" i="1"/>
  <c r="F8" i="1"/>
  <c r="F47" i="1"/>
  <c r="E88" i="1"/>
  <c r="E100" i="1"/>
  <c r="E34" i="1"/>
  <c r="F70" i="1"/>
  <c r="F10" i="1"/>
  <c r="F13" i="1"/>
  <c r="E90" i="1"/>
  <c r="F51" i="1"/>
  <c r="E65" i="1"/>
  <c r="E64" i="1"/>
  <c r="E59" i="1"/>
  <c r="E11" i="1"/>
  <c r="F73" i="1"/>
  <c r="E69" i="1"/>
  <c r="F87" i="1"/>
  <c r="E49" i="1"/>
  <c r="F65" i="1"/>
  <c r="F71" i="1"/>
  <c r="E80" i="1"/>
  <c r="E51" i="1"/>
  <c r="F101" i="1"/>
  <c r="E44" i="1"/>
  <c r="E37" i="1"/>
  <c r="F39" i="1"/>
  <c r="F92" i="1"/>
  <c r="E13" i="1"/>
  <c r="F3" i="1"/>
  <c r="E84" i="1"/>
  <c r="F44" i="1"/>
  <c r="F9" i="1"/>
  <c r="E30" i="1"/>
  <c r="E101" i="1"/>
  <c r="E53" i="1"/>
  <c r="F66" i="1"/>
  <c r="F7" i="1"/>
  <c r="E76" i="1"/>
  <c r="E89" i="1"/>
  <c r="F98" i="1"/>
  <c r="E63" i="1"/>
  <c r="E7" i="1"/>
  <c r="F64" i="1"/>
  <c r="F5" i="1"/>
  <c r="E39" i="1"/>
  <c r="F59" i="1"/>
  <c r="E10" i="1"/>
  <c r="F19" i="1"/>
  <c r="F21" i="1"/>
  <c r="F74" i="1"/>
  <c r="F63" i="1"/>
  <c r="F16" i="1"/>
  <c r="F27" i="1"/>
  <c r="F84" i="1"/>
  <c r="F67" i="1"/>
  <c r="F34" i="1"/>
  <c r="E42" i="1"/>
  <c r="E83" i="1"/>
  <c r="E46" i="1"/>
  <c r="E35" i="1"/>
  <c r="E19" i="1"/>
  <c r="F46" i="1"/>
  <c r="E66" i="1"/>
  <c r="E56" i="1"/>
  <c r="E17" i="1"/>
  <c r="E40" i="1"/>
  <c r="E2" i="1"/>
  <c r="F11" i="1"/>
  <c r="F35" i="1"/>
  <c r="E87" i="1"/>
  <c r="E82" i="1"/>
  <c r="E68" i="1"/>
  <c r="E95" i="1"/>
  <c r="F100" i="1"/>
  <c r="F83" i="1"/>
  <c r="E12" i="1"/>
  <c r="E86" i="1"/>
  <c r="F18" i="1"/>
  <c r="F43" i="1"/>
  <c r="F99" i="1"/>
  <c r="E94" i="1"/>
  <c r="F102" i="1"/>
  <c r="F91" i="1"/>
  <c r="E5" i="1"/>
  <c r="F36" i="1"/>
  <c r="E20" i="1"/>
  <c r="E97" i="1"/>
  <c r="E54" i="1"/>
  <c r="E22" i="1"/>
  <c r="E77" i="1"/>
  <c r="E21" i="1"/>
  <c r="F56" i="1"/>
  <c r="F37" i="1"/>
  <c r="E15" i="1"/>
  <c r="E28" i="1"/>
  <c r="F24" i="1"/>
  <c r="E47" i="1"/>
  <c r="E18" i="1"/>
  <c r="E38" i="1"/>
  <c r="E71" i="1"/>
  <c r="F49" i="1"/>
  <c r="F90" i="1"/>
  <c r="F89" i="1"/>
  <c r="E25" i="1"/>
  <c r="F97" i="1"/>
  <c r="F93" i="1"/>
  <c r="F69" i="1"/>
  <c r="F45" i="1"/>
  <c r="F86" i="1"/>
  <c r="F54" i="1"/>
  <c r="E52" i="1"/>
  <c r="E32" i="1"/>
  <c r="F57" i="1"/>
  <c r="F52" i="1"/>
  <c r="F29" i="1"/>
  <c r="F17" i="1"/>
  <c r="F55" i="1"/>
  <c r="F88" i="1"/>
  <c r="F6" i="1"/>
  <c r="F95" i="1"/>
  <c r="E45" i="1"/>
  <c r="E78" i="1"/>
  <c r="E16" i="1"/>
  <c r="E96" i="1"/>
  <c r="E58" i="1"/>
  <c r="E29" i="1"/>
  <c r="G70" i="1"/>
  <c r="H70" i="1" s="1"/>
  <c r="F30" i="1"/>
  <c r="G54" i="1" l="1"/>
  <c r="H54" i="1" s="1"/>
  <c r="F62" i="1"/>
  <c r="G89" i="1"/>
  <c r="H89" i="1" s="1"/>
</calcChain>
</file>

<file path=xl/sharedStrings.xml><?xml version="1.0" encoding="utf-8"?>
<sst xmlns="http://schemas.openxmlformats.org/spreadsheetml/2006/main" count="20" uniqueCount="19">
  <si>
    <t>p1y</t>
  </si>
  <si>
    <t>diff</t>
  </si>
  <si>
    <t>power</t>
  </si>
  <si>
    <t>t</t>
  </si>
  <si>
    <t>X</t>
  </si>
  <si>
    <t>Y</t>
  </si>
  <si>
    <t>p0x</t>
  </si>
  <si>
    <t>p0y</t>
  </si>
  <si>
    <t>p2x</t>
  </si>
  <si>
    <t>p2y</t>
  </si>
  <si>
    <t>center</t>
  </si>
  <si>
    <t>halfHeight</t>
  </si>
  <si>
    <t>n</t>
  </si>
  <si>
    <t>Y1</t>
  </si>
  <si>
    <t>pow(t, power)</t>
  </si>
  <si>
    <t>pow(1-t, power)</t>
  </si>
  <si>
    <t>Y2</t>
  </si>
  <si>
    <t>Если diff &gt; 0 и p2y &lt; p0x или diff &lt; 0 и p2y &gt; p0y</t>
  </si>
  <si>
    <t>(-1)*ABS(diff)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</si>
</sst>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"/>
    <numFmt numFmtId="166" formatCode="0.0000000000000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Лист1!$F$2:$F$102</c:f>
              <c:numCache>
                <c:formatCode>0.00000000000000000000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0.99999999999999989</c:v>
                </c:pt>
                <c:pt idx="57">
                  <c:v>0.99999999999999956</c:v>
                </c:pt>
                <c:pt idx="58">
                  <c:v>0.99999999999999878</c:v>
                </c:pt>
                <c:pt idx="59">
                  <c:v>0.99999999999999656</c:v>
                </c:pt>
                <c:pt idx="60">
                  <c:v>0.9999999999999899</c:v>
                </c:pt>
                <c:pt idx="61">
                  <c:v>0.99999999999997147</c:v>
                </c:pt>
                <c:pt idx="62">
                  <c:v>0.9999999999999204</c:v>
                </c:pt>
                <c:pt idx="63">
                  <c:v>0.99999999999978162</c:v>
                </c:pt>
                <c:pt idx="64">
                  <c:v>0.99999999999941014</c:v>
                </c:pt>
                <c:pt idx="65">
                  <c:v>0.99999999999843092</c:v>
                </c:pt>
                <c:pt idx="66">
                  <c:v>0.99999999999588862</c:v>
                </c:pt>
                <c:pt idx="67">
                  <c:v>0.99999999998938149</c:v>
                </c:pt>
                <c:pt idx="68">
                  <c:v>0.99999999997295874</c:v>
                </c:pt>
                <c:pt idx="69">
                  <c:v>0.99999999993206945</c:v>
                </c:pt>
                <c:pt idx="70">
                  <c:v>0.99999999983159804</c:v>
                </c:pt>
                <c:pt idx="71">
                  <c:v>0.99999999958786812</c:v>
                </c:pt>
                <c:pt idx="72">
                  <c:v>0.99999999900393177</c:v>
                </c:pt>
                <c:pt idx="73">
                  <c:v>0.99999999762176106</c:v>
                </c:pt>
                <c:pt idx="74">
                  <c:v>0.99999999438849552</c:v>
                </c:pt>
                <c:pt idx="75">
                  <c:v>0.99999998691123548</c:v>
                </c:pt>
                <c:pt idx="76">
                  <c:v>0.99999996981118477</c:v>
                </c:pt>
                <c:pt idx="77">
                  <c:v>0.99999993112700991</c:v>
                </c:pt>
                <c:pt idx="78">
                  <c:v>0.99999984453604718</c:v>
                </c:pt>
                <c:pt idx="79">
                  <c:v>0.99999965269891711</c:v>
                </c:pt>
                <c:pt idx="80">
                  <c:v>0.9999992319463562</c:v>
                </c:pt>
                <c:pt idx="81">
                  <c:v>0.99999831811981821</c:v>
                </c:pt>
                <c:pt idx="82">
                  <c:v>0.99999635227813088</c:v>
                </c:pt>
                <c:pt idx="83">
                  <c:v>0.9999921625856899</c:v>
                </c:pt>
                <c:pt idx="84">
                  <c:v>0.99998331424197717</c:v>
                </c:pt>
                <c:pt idx="85">
                  <c:v>0.99996479249255343</c:v>
                </c:pt>
                <c:pt idx="86">
                  <c:v>0.99992635696580578</c:v>
                </c:pt>
                <c:pt idx="87">
                  <c:v>0.99984727053726885</c:v>
                </c:pt>
                <c:pt idx="88">
                  <c:v>0.99968588156523253</c:v>
                </c:pt>
                <c:pt idx="89">
                  <c:v>0.99935919587483013</c:v>
                </c:pt>
                <c:pt idx="90">
                  <c:v>0.99870312676725992</c:v>
                </c:pt>
                <c:pt idx="91">
                  <c:v>0.99739572665130949</c:v>
                </c:pt>
                <c:pt idx="92">
                  <c:v>0.99481001180029538</c:v>
                </c:pt>
                <c:pt idx="93">
                  <c:v>0.98973382905911811</c:v>
                </c:pt>
                <c:pt idx="94">
                  <c:v>0.97984038719088329</c:v>
                </c:pt>
                <c:pt idx="95">
                  <c:v>0.96069439233624943</c:v>
                </c:pt>
                <c:pt idx="96">
                  <c:v>0.923898988759281</c:v>
                </c:pt>
                <c:pt idx="97">
                  <c:v>0.85366343447549775</c:v>
                </c:pt>
                <c:pt idx="98">
                  <c:v>0.72048649134080511</c:v>
                </c:pt>
                <c:pt idx="99">
                  <c:v>0.46960502923712888</c:v>
                </c:pt>
                <c:pt idx="100">
                  <c:v>-4.1966430330830917E-14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3-4FB4-B5DB-64E698EB4919}"/>
            </c:ext>
          </c:extLst>
        </c:ser>
        <c:ser>
          <c:idx val="1"/>
          <c:order val="1"/>
          <c:tx>
            <c:strRef>
              <c:f>Лист1!$H$1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Лист1!$H$2:$H$102</c:f>
              <c:numCache>
                <c:formatCode>0.00000000000000000000</c:formatCode>
                <c:ptCount val="101"/>
                <c:pt idx="0">
                  <c:v>1</c:v>
                </c:pt>
                <c:pt idx="1">
                  <c:v>0.53039497076284869</c:v>
                </c:pt>
                <c:pt idx="2">
                  <c:v>0.27951350865918279</c:v>
                </c:pt>
                <c:pt idx="3">
                  <c:v>0.14633656552449587</c:v>
                </c:pt>
                <c:pt idx="4">
                  <c:v>7.610101124071568E-2</c:v>
                </c:pt>
                <c:pt idx="5">
                  <c:v>3.9305607663748805E-2</c:v>
                </c:pt>
                <c:pt idx="6">
                  <c:v>2.0159612809115823E-2</c:v>
                </c:pt>
                <c:pt idx="7">
                  <c:v>1.0266170940881419E-2</c:v>
                </c:pt>
                <c:pt idx="8">
                  <c:v>5.1899881997044383E-3</c:v>
                </c:pt>
                <c:pt idx="9">
                  <c:v>2.6042733486903642E-3</c:v>
                </c:pt>
                <c:pt idx="10">
                  <c:v>1.2968732327400755E-3</c:v>
                </c:pt>
                <c:pt idx="11">
                  <c:v>6.4080412516989921E-4</c:v>
                </c:pt>
                <c:pt idx="12">
                  <c:v>3.1411843476746932E-4</c:v>
                </c:pt>
                <c:pt idx="13">
                  <c:v>1.5272946273112893E-4</c:v>
                </c:pt>
                <c:pt idx="14">
                  <c:v>7.3643034194224518E-5</c:v>
                </c:pt>
                <c:pt idx="15">
                  <c:v>3.5207507446606243E-5</c:v>
                </c:pt>
                <c:pt idx="16">
                  <c:v>1.6685758022797354E-5</c:v>
                </c:pt>
                <c:pt idx="17">
                  <c:v>7.8374143101286543E-6</c:v>
                </c:pt>
                <c:pt idx="18">
                  <c:v>3.6477218691085048E-6</c:v>
                </c:pt>
                <c:pt idx="19">
                  <c:v>1.6818801817976824E-6</c:v>
                </c:pt>
                <c:pt idx="20">
                  <c:v>7.6805364382363629E-7</c:v>
                </c:pt>
                <c:pt idx="21">
                  <c:v>3.4730108284263203E-7</c:v>
                </c:pt>
                <c:pt idx="22">
                  <c:v>1.5546395281543275E-7</c:v>
                </c:pt>
                <c:pt idx="23">
                  <c:v>6.8872990090118602E-8</c:v>
                </c:pt>
                <c:pt idx="24">
                  <c:v>3.018881518884459E-8</c:v>
                </c:pt>
                <c:pt idx="25">
                  <c:v>1.3088764469011923E-8</c:v>
                </c:pt>
                <c:pt idx="26">
                  <c:v>5.6115044792789975E-9</c:v>
                </c:pt>
                <c:pt idx="27">
                  <c:v>2.3782388924043072E-9</c:v>
                </c:pt>
                <c:pt idx="28">
                  <c:v>9.960682119833555E-10</c:v>
                </c:pt>
                <c:pt idx="29">
                  <c:v>4.1213193620898815E-10</c:v>
                </c:pt>
                <c:pt idx="30">
                  <c:v>1.6840193107069271E-10</c:v>
                </c:pt>
                <c:pt idx="31">
                  <c:v>6.7930533142882134E-11</c:v>
                </c:pt>
                <c:pt idx="32">
                  <c:v>2.7041254384313733E-11</c:v>
                </c:pt>
                <c:pt idx="33">
                  <c:v>1.0618469828925128E-11</c:v>
                </c:pt>
                <c:pt idx="34">
                  <c:v>4.1114222080460556E-12</c:v>
                </c:pt>
                <c:pt idx="35">
                  <c:v>1.5690284990488436E-12</c:v>
                </c:pt>
                <c:pt idx="36">
                  <c:v>5.8990639979076723E-13</c:v>
                </c:pt>
                <c:pt idx="37">
                  <c:v>2.1839595674731871E-13</c:v>
                </c:pt>
                <c:pt idx="38">
                  <c:v>7.9579493631377608E-14</c:v>
                </c:pt>
                <c:pt idx="39">
                  <c:v>2.8525172271680279E-14</c:v>
                </c:pt>
                <c:pt idx="40">
                  <c:v>1.0052873243573842E-14</c:v>
                </c:pt>
                <c:pt idx="41">
                  <c:v>3.4812833843296814E-15</c:v>
                </c:pt>
                <c:pt idx="42">
                  <c:v>1.183901317903833E-15</c:v>
                </c:pt>
                <c:pt idx="43">
                  <c:v>3.9513429160531236E-16</c:v>
                </c:pt>
                <c:pt idx="44">
                  <c:v>1.29341716785781E-16</c:v>
                </c:pt>
                <c:pt idx="45">
                  <c:v>4.1494754888325144E-17</c:v>
                </c:pt>
                <c:pt idx="46">
                  <c:v>1.3037302221719796E-17</c:v>
                </c:pt>
                <c:pt idx="47">
                  <c:v>4.0085147631512635E-18</c:v>
                </c:pt>
                <c:pt idx="48">
                  <c:v>1.2050980559575864E-18</c:v>
                </c:pt>
                <c:pt idx="49">
                  <c:v>3.5393660958291345E-19</c:v>
                </c:pt>
                <c:pt idx="50">
                  <c:v>1.0145917642541128E-19</c:v>
                </c:pt>
                <c:pt idx="51">
                  <c:v>2.8359210388337737E-20</c:v>
                </c:pt>
                <c:pt idx="52">
                  <c:v>7.7211459256239168E-21</c:v>
                </c:pt>
                <c:pt idx="53">
                  <c:v>2.0453777126680725E-21</c:v>
                </c:pt>
                <c:pt idx="54">
                  <c:v>5.2657192839960966E-22</c:v>
                </c:pt>
                <c:pt idx="55">
                  <c:v>1.3157969012196762E-22</c:v>
                </c:pt>
                <c:pt idx="56">
                  <c:v>3.1870197691546317E-23</c:v>
                </c:pt>
                <c:pt idx="57">
                  <c:v>7.4717615988143281E-24</c:v>
                </c:pt>
                <c:pt idx="58">
                  <c:v>1.6929232670267032E-24</c:v>
                </c:pt>
                <c:pt idx="59">
                  <c:v>3.7009485666870487E-25</c:v>
                </c:pt>
                <c:pt idx="60">
                  <c:v>7.7926090152880642E-26</c:v>
                </c:pt>
                <c:pt idx="61">
                  <c:v>1.577324461649261E-26</c:v>
                </c:pt>
                <c:pt idx="62">
                  <c:v>3.0629323263190539E-27</c:v>
                </c:pt>
                <c:pt idx="63">
                  <c:v>5.6933862297513731E-28</c:v>
                </c:pt>
                <c:pt idx="64">
                  <c:v>1.0106026045135999E-28</c:v>
                </c:pt>
                <c:pt idx="65">
                  <c:v>1.7085921234880815E-29</c:v>
                </c:pt>
                <c:pt idx="66">
                  <c:v>2.7435833993424256E-30</c:v>
                </c:pt>
                <c:pt idx="67">
                  <c:v>4.1714151116548693E-31</c:v>
                </c:pt>
                <c:pt idx="68">
                  <c:v>5.9851417490848306E-32</c:v>
                </c:pt>
                <c:pt idx="69">
                  <c:v>8.0740698841904908E-33</c:v>
                </c:pt>
                <c:pt idx="70">
                  <c:v>1.0199562400020187E-33</c:v>
                </c:pt>
                <c:pt idx="71">
                  <c:v>1.2011765268347596E-34</c:v>
                </c:pt>
                <c:pt idx="72">
                  <c:v>1.3122904062533574E-35</c:v>
                </c:pt>
                <c:pt idx="73">
                  <c:v>1.3227539462248093E-36</c:v>
                </c:pt>
                <c:pt idx="74">
                  <c:v>1.2226825626931397E-37</c:v>
                </c:pt>
                <c:pt idx="75">
                  <c:v>1.0293964480922147E-38</c:v>
                </c:pt>
                <c:pt idx="76">
                  <c:v>7.8338110667417801E-40</c:v>
                </c:pt>
                <c:pt idx="77">
                  <c:v>5.3425554184161617E-41</c:v>
                </c:pt>
                <c:pt idx="78">
                  <c:v>3.2335240102991032E-42</c:v>
                </c:pt>
                <c:pt idx="79">
                  <c:v>1.7176260042393374E-43</c:v>
                </c:pt>
                <c:pt idx="80">
                  <c:v>7.9063169289630601E-45</c:v>
                </c:pt>
                <c:pt idx="81">
                  <c:v>3.1076259127507377E-46</c:v>
                </c:pt>
                <c:pt idx="82">
                  <c:v>1.0253490794731601E-47</c:v>
                </c:pt>
                <c:pt idx="83">
                  <c:v>2.7836171215168703E-49</c:v>
                </c:pt>
                <c:pt idx="84">
                  <c:v>6.0724755265143645E-51</c:v>
                </c:pt>
                <c:pt idx="85">
                  <c:v>1.0348392010055146E-52</c:v>
                </c:pt>
                <c:pt idx="86">
                  <c:v>1.3314390384941603E-54</c:v>
                </c:pt>
                <c:pt idx="87">
                  <c:v>1.2405236584053875E-56</c:v>
                </c:pt>
                <c:pt idx="88">
                  <c:v>7.9481201910377497E-59</c:v>
                </c:pt>
                <c:pt idx="89">
                  <c:v>3.280706830366865E-61</c:v>
                </c:pt>
                <c:pt idx="90">
                  <c:v>8.0216840417071376E-64</c:v>
                </c:pt>
                <c:pt idx="91">
                  <c:v>1.0403107315187897E-66</c:v>
                </c:pt>
                <c:pt idx="92">
                  <c:v>6.1610836578346861E-70</c:v>
                </c:pt>
                <c:pt idx="93">
                  <c:v>1.3508670830622156E-73</c:v>
                </c:pt>
                <c:pt idx="94">
                  <c:v>8.0640972871260337E-78</c:v>
                </c:pt>
                <c:pt idx="95">
                  <c:v>8.138734564161757E-83</c:v>
                </c:pt>
                <c:pt idx="96">
                  <c:v>6.2509847381165239E-89</c:v>
                </c:pt>
                <c:pt idx="97">
                  <c:v>8.181766693656484E-97</c:v>
                </c:pt>
                <c:pt idx="98">
                  <c:v>6.3421976337647332E-108</c:v>
                </c:pt>
                <c:pt idx="99">
                  <c:v>6.4347414864759496E-127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3-4FB4-B5DB-64E698EB4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85999"/>
        <c:axId val="132686415"/>
      </c:scatterChart>
      <c:valAx>
        <c:axId val="13268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686415"/>
        <c:crosses val="autoZero"/>
        <c:crossBetween val="midCat"/>
      </c:valAx>
      <c:valAx>
        <c:axId val="1326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685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distributionFunction!$B$1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distributionFunction!$A$2:$A$22</c:f>
              <c:numCache>
                <c:formatCode>0.00000000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xVal>
          <c:yVal>
            <c:numRef>
              <c:f>distributionFunction!$B$2:$B$22</c:f>
              <c:numCache>
                <c:formatCode>General</c:formatCode>
                <c:ptCount val="21"/>
                <c:pt idx="0">
                  <c:v>2</c:v>
                </c:pt>
                <c:pt idx="1">
                  <c:v>1.8660659830736148</c:v>
                </c:pt>
                <c:pt idx="2">
                  <c:v>1.7411011265922482</c:v>
                </c:pt>
                <c:pt idx="3">
                  <c:v>1.6245047927124709</c:v>
                </c:pt>
                <c:pt idx="4">
                  <c:v>1.5157165665103982</c:v>
                </c:pt>
                <c:pt idx="5">
                  <c:v>1.4142135623730951</c:v>
                </c:pt>
                <c:pt idx="6">
                  <c:v>1.3195079107728944</c:v>
                </c:pt>
                <c:pt idx="7">
                  <c:v>1.2311444133449163</c:v>
                </c:pt>
                <c:pt idx="8">
                  <c:v>1.1486983549970351</c:v>
                </c:pt>
                <c:pt idx="9">
                  <c:v>1.0717734625362934</c:v>
                </c:pt>
                <c:pt idx="10">
                  <c:v>1</c:v>
                </c:pt>
                <c:pt idx="11">
                  <c:v>0.93303299153680741</c:v>
                </c:pt>
                <c:pt idx="12">
                  <c:v>0.87055056329612424</c:v>
                </c:pt>
                <c:pt idx="13">
                  <c:v>0.8122523963562357</c:v>
                </c:pt>
                <c:pt idx="14">
                  <c:v>0.75785828325519911</c:v>
                </c:pt>
                <c:pt idx="15">
                  <c:v>0.70710678118654757</c:v>
                </c:pt>
                <c:pt idx="16">
                  <c:v>0.65975395538644721</c:v>
                </c:pt>
                <c:pt idx="17">
                  <c:v>0.61557220667245816</c:v>
                </c:pt>
                <c:pt idx="18">
                  <c:v>0.57434917749851755</c:v>
                </c:pt>
                <c:pt idx="19">
                  <c:v>0.53588673126814668</c:v>
                </c:pt>
                <c:pt idx="2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0-4000-B451-AE0D032C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14415"/>
        <c:axId val="272213167"/>
      </c:scatterChart>
      <c:valAx>
        <c:axId val="27221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213167"/>
        <c:crosses val="autoZero"/>
        <c:crossBetween val="midCat"/>
      </c:valAx>
      <c:valAx>
        <c:axId val="2722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21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180975</xdr:rowOff>
    </xdr:from>
    <xdr:to>
      <xdr:col>27</xdr:col>
      <xdr:colOff>200025</xdr:colOff>
      <xdr:row>51</xdr:row>
      <xdr:rowOff>114300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2BA987F-8328-402C-9A50-5D1E7D302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</xdr:row>
      <xdr:rowOff>47624</xdr:rowOff>
    </xdr:from>
    <xdr:to>
      <xdr:col>23</xdr:col>
      <xdr:colOff>514350</xdr:colOff>
      <xdr:row>42</xdr:row>
      <xdr:rowOff>19049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0069A8-D8FA-4836-9383-4AA7D5421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859F-148A-4269-B546-44A749ED2599}">
  <dimension ref="A1:H102"/>
  <sheetViews>
    <sheetView tabSelected="1" workbookViewId="0">
      <pane ySplit="1" topLeftCell="A2" activePane="bottomLeft" state="frozen"/>
      <selection pane="bottomLeft" activeCell="H23" sqref="H23"/>
    </sheetView>
  </sheetViews>
  <sheetFormatPr defaultRowHeight="15" x14ac:dyDescent="0.25"/>
  <cols>
    <col min="1" max="1" width="21.5703125" customWidth="1"/>
    <col min="2" max="2" width="29.28515625" customWidth="1"/>
    <col min="3" max="4" width="13.85546875" customWidth="1"/>
    <col min="5" max="8" width="23.7109375" customWidth="1"/>
  </cols>
  <sheetData>
    <row r="1" spans="1:8" x14ac:dyDescent="0.25">
      <c r="B1" s="1"/>
      <c r="C1" t="s">
        <v>3</v>
      </c>
      <c r="D1" t="s">
        <v>4</v>
      </c>
      <c r="E1" t="s">
        <v>14</v>
      </c>
      <c r="F1" t="s">
        <v>13</v>
      </c>
      <c r="G1" t="s">
        <v>15</v>
      </c>
      <c r="H1" t="s">
        <v>16</v>
      </c>
    </row>
    <row r="2" spans="1:8" x14ac:dyDescent="0.25">
      <c r="B2" s="1"/>
      <c r="C2">
        <f>0</f>
        <v>0</v>
      </c>
      <c r="D2">
        <f>$B$3+($B$5-$B$3)*C2</f>
        <v>0</v>
      </c>
      <c r="E2" s="3">
        <f>POWER(C2,$B$13)</f>
        <v>0</v>
      </c>
      <c r="F2" s="3">
        <f>$B$4+($B$6-$B$4)*POWER($C2,$B$13)</f>
        <v>1</v>
      </c>
      <c r="G2" s="3">
        <f t="shared" ref="G2:G65" si="0">IF(ABS(1-$C2)&lt;0.000001, 0, POWER(1-$C2,$B$13))</f>
        <v>1</v>
      </c>
      <c r="H2" s="3">
        <f>$B$6-($B$6-$B$4)*G2</f>
        <v>1</v>
      </c>
    </row>
    <row r="3" spans="1:8" x14ac:dyDescent="0.25">
      <c r="A3" t="s">
        <v>6</v>
      </c>
      <c r="B3" s="1">
        <v>0</v>
      </c>
      <c r="C3">
        <f>C2+0.01</f>
        <v>0.01</v>
      </c>
      <c r="D3">
        <f t="shared" ref="D3:D66" si="1">$B$3+($B$5-$B$3)*C3</f>
        <v>0.01</v>
      </c>
      <c r="E3" s="3">
        <f>POWER(C3,$B$13)</f>
        <v>6.4347414865030162E-127</v>
      </c>
      <c r="F3" s="3">
        <f>$B$4+($B$6-$B$4)*POWER($C3,$B$13)</f>
        <v>1</v>
      </c>
      <c r="G3" s="3">
        <f t="shared" si="0"/>
        <v>0.53039497076284869</v>
      </c>
      <c r="H3" s="3">
        <f t="shared" ref="H3:H66" si="2">$B$6-($B$6-$B$4)*G3</f>
        <v>0.53039497076284869</v>
      </c>
    </row>
    <row r="4" spans="1:8" x14ac:dyDescent="0.25">
      <c r="A4" t="s">
        <v>7</v>
      </c>
      <c r="B4" s="1">
        <v>1</v>
      </c>
      <c r="C4">
        <f t="shared" ref="C4:C67" si="3">C3+0.01</f>
        <v>0.02</v>
      </c>
      <c r="D4">
        <f t="shared" si="1"/>
        <v>0.02</v>
      </c>
      <c r="E4" s="3">
        <f>POWER(C4,$B$13)</f>
        <v>6.3421976337777117E-108</v>
      </c>
      <c r="F4" s="3">
        <f>$B$4+($B$6-$B$4)*POWER($C4,$B$13)</f>
        <v>1</v>
      </c>
      <c r="G4" s="3">
        <f t="shared" si="0"/>
        <v>0.27951350865918279</v>
      </c>
      <c r="H4" s="3">
        <f t="shared" si="2"/>
        <v>0.27951350865918279</v>
      </c>
    </row>
    <row r="5" spans="1:8" x14ac:dyDescent="0.25">
      <c r="A5" t="s">
        <v>8</v>
      </c>
      <c r="B5" s="1">
        <v>1</v>
      </c>
      <c r="C5">
        <f t="shared" si="3"/>
        <v>0.03</v>
      </c>
      <c r="D5">
        <f t="shared" si="1"/>
        <v>0.03</v>
      </c>
      <c r="E5" s="3">
        <f>POWER(C5,$B$13)</f>
        <v>8.1817666936676466E-97</v>
      </c>
      <c r="F5" s="3">
        <f>$B$4+($B$6-$B$4)*POWER($C5,$B$13)</f>
        <v>1</v>
      </c>
      <c r="G5" s="3">
        <f t="shared" si="0"/>
        <v>0.14633656552449587</v>
      </c>
      <c r="H5" s="3">
        <f t="shared" si="2"/>
        <v>0.14633656552449587</v>
      </c>
    </row>
    <row r="6" spans="1:8" x14ac:dyDescent="0.25">
      <c r="A6" t="s">
        <v>9</v>
      </c>
      <c r="B6" s="1">
        <v>0</v>
      </c>
      <c r="C6">
        <f t="shared" si="3"/>
        <v>0.04</v>
      </c>
      <c r="D6">
        <f t="shared" si="1"/>
        <v>0.04</v>
      </c>
      <c r="E6" s="3">
        <f>POWER(C6,$B$13)</f>
        <v>6.2509847381227418E-89</v>
      </c>
      <c r="F6" s="3">
        <f>$B$4+($B$6-$B$4)*POWER($C6,$B$13)</f>
        <v>1</v>
      </c>
      <c r="G6" s="3">
        <f t="shared" si="0"/>
        <v>7.610101124071568E-2</v>
      </c>
      <c r="H6" s="3">
        <f t="shared" si="2"/>
        <v>7.610101124071568E-2</v>
      </c>
    </row>
    <row r="7" spans="1:8" x14ac:dyDescent="0.25">
      <c r="A7" t="s">
        <v>10</v>
      </c>
      <c r="B7" s="1">
        <f>(B4+B6)/2</f>
        <v>0.5</v>
      </c>
      <c r="C7">
        <f t="shared" si="3"/>
        <v>0.05</v>
      </c>
      <c r="D7">
        <f t="shared" si="1"/>
        <v>0.05</v>
      </c>
      <c r="E7" s="3">
        <f>POWER(C7,$B$13)</f>
        <v>8.1387345641682338E-83</v>
      </c>
      <c r="F7" s="3">
        <f>$B$4+($B$6-$B$4)*POWER($C7,$B$13)</f>
        <v>1</v>
      </c>
      <c r="G7" s="3">
        <f t="shared" si="0"/>
        <v>3.9305607663748805E-2</v>
      </c>
      <c r="H7" s="3">
        <f t="shared" si="2"/>
        <v>3.9305607663748805E-2</v>
      </c>
    </row>
    <row r="8" spans="1:8" x14ac:dyDescent="0.25">
      <c r="A8" t="s">
        <v>11</v>
      </c>
      <c r="B8" s="1">
        <f>ABS(B6-B4)/2</f>
        <v>0.5</v>
      </c>
      <c r="C8">
        <f t="shared" si="3"/>
        <v>6.0000000000000005E-2</v>
      </c>
      <c r="D8">
        <f t="shared" si="1"/>
        <v>6.0000000000000005E-2</v>
      </c>
      <c r="E8" s="3">
        <f>POWER(C8,$B$13)</f>
        <v>8.0640972871313052E-78</v>
      </c>
      <c r="F8" s="3">
        <f>$B$4+($B$6-$B$4)*POWER($C8,$B$13)</f>
        <v>1</v>
      </c>
      <c r="G8" s="3">
        <f t="shared" si="0"/>
        <v>2.0159612809115823E-2</v>
      </c>
      <c r="H8" s="3">
        <f t="shared" si="2"/>
        <v>2.0159612809115823E-2</v>
      </c>
    </row>
    <row r="9" spans="1:8" x14ac:dyDescent="0.25">
      <c r="A9" t="s">
        <v>0</v>
      </c>
      <c r="B9" s="1">
        <v>0.95</v>
      </c>
      <c r="C9">
        <f t="shared" si="3"/>
        <v>7.0000000000000007E-2</v>
      </c>
      <c r="D9">
        <f t="shared" si="1"/>
        <v>7.0000000000000007E-2</v>
      </c>
      <c r="E9" s="3">
        <f>POWER(C9,$B$13)</f>
        <v>1.3508670830629835E-73</v>
      </c>
      <c r="F9" s="3">
        <f>$B$4+($B$6-$B$4)*POWER($C9,$B$13)</f>
        <v>1</v>
      </c>
      <c r="G9" s="3">
        <f t="shared" si="0"/>
        <v>1.0266170940881419E-2</v>
      </c>
      <c r="H9" s="3">
        <f t="shared" si="2"/>
        <v>1.0266170940881419E-2</v>
      </c>
    </row>
    <row r="10" spans="1:8" x14ac:dyDescent="0.25">
      <c r="A10" t="s">
        <v>1</v>
      </c>
      <c r="B10" s="1">
        <f>(B9-B7)/B8</f>
        <v>0.89999999999999991</v>
      </c>
      <c r="C10">
        <f t="shared" si="3"/>
        <v>0.08</v>
      </c>
      <c r="D10">
        <f t="shared" si="1"/>
        <v>0.08</v>
      </c>
      <c r="E10" s="3">
        <f>POWER(C10,$B$13)</f>
        <v>6.161083657837489E-70</v>
      </c>
      <c r="F10" s="3">
        <f>$B$4+($B$6-$B$4)*POWER($C10,$B$13)</f>
        <v>1</v>
      </c>
      <c r="G10" s="3">
        <f t="shared" si="0"/>
        <v>5.1899881997044383E-3</v>
      </c>
      <c r="H10" s="3">
        <f t="shared" si="2"/>
        <v>5.1899881997044383E-3</v>
      </c>
    </row>
    <row r="11" spans="1:8" x14ac:dyDescent="0.25">
      <c r="A11" t="s">
        <v>18</v>
      </c>
      <c r="B11" s="1">
        <f>-ABS(B10)</f>
        <v>-0.89999999999999991</v>
      </c>
      <c r="C11">
        <f t="shared" si="3"/>
        <v>0.09</v>
      </c>
      <c r="D11">
        <f t="shared" si="1"/>
        <v>0.09</v>
      </c>
      <c r="E11" s="3">
        <f>POWER(C11,$B$13)</f>
        <v>1.0403107315192036E-66</v>
      </c>
      <c r="F11" s="3">
        <f>$B$4+($B$6-$B$4)*POWER($C11,$B$13)</f>
        <v>1</v>
      </c>
      <c r="G11" s="3">
        <f t="shared" si="0"/>
        <v>2.6042733486903642E-3</v>
      </c>
      <c r="H11" s="3">
        <f t="shared" si="2"/>
        <v>2.6042733486903642E-3</v>
      </c>
    </row>
    <row r="12" spans="1:8" x14ac:dyDescent="0.25">
      <c r="A12" t="s">
        <v>12</v>
      </c>
      <c r="B12" s="1">
        <v>100</v>
      </c>
      <c r="C12">
        <f t="shared" si="3"/>
        <v>9.9999999999999992E-2</v>
      </c>
      <c r="D12">
        <f t="shared" si="1"/>
        <v>9.9999999999999992E-2</v>
      </c>
      <c r="E12" s="3">
        <f>POWER(C12,$B$13)</f>
        <v>8.0216840417101009E-64</v>
      </c>
      <c r="F12" s="3">
        <f>$B$4+($B$6-$B$4)*POWER($C12,$B$13)</f>
        <v>1</v>
      </c>
      <c r="G12" s="3">
        <f t="shared" si="0"/>
        <v>1.2968732327400755E-3</v>
      </c>
      <c r="H12" s="3">
        <f t="shared" si="2"/>
        <v>1.2968732327400755E-3</v>
      </c>
    </row>
    <row r="13" spans="1:8" x14ac:dyDescent="0.25">
      <c r="A13" t="s">
        <v>2</v>
      </c>
      <c r="B13" s="1">
        <f>POWER(B12,-B11)</f>
        <v>63.095734448019307</v>
      </c>
      <c r="C13">
        <f t="shared" si="3"/>
        <v>0.10999999999999999</v>
      </c>
      <c r="D13">
        <f t="shared" si="1"/>
        <v>0.10999999999999999</v>
      </c>
      <c r="E13" s="3">
        <f>POWER(C13,$B$13)</f>
        <v>3.280706830367891E-61</v>
      </c>
      <c r="F13" s="3">
        <f>$B$4+($B$6-$B$4)*POWER($C13,$B$13)</f>
        <v>1</v>
      </c>
      <c r="G13" s="3">
        <f t="shared" si="0"/>
        <v>6.4080412516989921E-4</v>
      </c>
      <c r="H13" s="3">
        <f t="shared" si="2"/>
        <v>6.4080412516989921E-4</v>
      </c>
    </row>
    <row r="14" spans="1:8" ht="45" x14ac:dyDescent="0.25">
      <c r="A14" s="4" t="s">
        <v>17</v>
      </c>
      <c r="B14">
        <f>IF(OR(AND(B10&gt;0,B6&lt;B4),AND(B10&lt;0,B6&gt;B4)),1,0)</f>
        <v>1</v>
      </c>
      <c r="C14">
        <f t="shared" si="3"/>
        <v>0.11999999999999998</v>
      </c>
      <c r="D14">
        <f t="shared" si="1"/>
        <v>0.11999999999999998</v>
      </c>
      <c r="E14" s="3">
        <f>POWER(C14,$B$13)</f>
        <v>7.9481201910402347E-59</v>
      </c>
      <c r="F14" s="3">
        <f>$B$4+($B$6-$B$4)*POWER($C14,$B$13)</f>
        <v>1</v>
      </c>
      <c r="G14" s="3">
        <f t="shared" si="0"/>
        <v>3.1411843476746932E-4</v>
      </c>
      <c r="H14" s="3">
        <f t="shared" si="2"/>
        <v>3.1411843476746932E-4</v>
      </c>
    </row>
    <row r="15" spans="1:8" x14ac:dyDescent="0.25">
      <c r="C15">
        <f t="shared" si="3"/>
        <v>0.12999999999999998</v>
      </c>
      <c r="D15">
        <f t="shared" si="1"/>
        <v>0.12999999999999998</v>
      </c>
      <c r="E15" s="3">
        <f>POWER(C15,$B$13)</f>
        <v>1.24052365840574E-56</v>
      </c>
      <c r="F15" s="3">
        <f>$B$4+($B$6-$B$4)*POWER($C15,$B$13)</f>
        <v>1</v>
      </c>
      <c r="G15" s="3">
        <f t="shared" si="0"/>
        <v>1.5272946273112893E-4</v>
      </c>
      <c r="H15" s="3">
        <f t="shared" si="2"/>
        <v>1.5272946273112893E-4</v>
      </c>
    </row>
    <row r="16" spans="1:8" x14ac:dyDescent="0.25">
      <c r="C16">
        <f t="shared" si="3"/>
        <v>0.13999999999999999</v>
      </c>
      <c r="D16">
        <f t="shared" si="1"/>
        <v>0.13999999999999999</v>
      </c>
      <c r="E16" s="3">
        <f>POWER(C16,$B$13)</f>
        <v>1.331439038494482E-54</v>
      </c>
      <c r="F16" s="3">
        <f>$B$4+($B$6-$B$4)*POWER($C16,$B$13)</f>
        <v>1</v>
      </c>
      <c r="G16" s="3">
        <f t="shared" si="0"/>
        <v>7.3643034194224518E-5</v>
      </c>
      <c r="H16" s="3">
        <f t="shared" si="2"/>
        <v>7.3643034194224518E-5</v>
      </c>
    </row>
    <row r="17" spans="3:8" x14ac:dyDescent="0.25">
      <c r="C17">
        <f t="shared" si="3"/>
        <v>0.15</v>
      </c>
      <c r="D17">
        <f t="shared" si="1"/>
        <v>0.15</v>
      </c>
      <c r="E17" s="3">
        <f>POWER(C17,$B$13)</f>
        <v>1.0348392010057498E-52</v>
      </c>
      <c r="F17" s="3">
        <f>$B$4+($B$6-$B$4)*POWER($C17,$B$13)</f>
        <v>1</v>
      </c>
      <c r="G17" s="3">
        <f t="shared" si="0"/>
        <v>3.5207507446606243E-5</v>
      </c>
      <c r="H17" s="3">
        <f t="shared" si="2"/>
        <v>3.5207507446606243E-5</v>
      </c>
    </row>
    <row r="18" spans="3:8" x14ac:dyDescent="0.25">
      <c r="C18">
        <f t="shared" si="3"/>
        <v>0.16</v>
      </c>
      <c r="D18">
        <f t="shared" si="1"/>
        <v>0.16</v>
      </c>
      <c r="E18" s="3">
        <f>POWER(C18,$B$13)</f>
        <v>6.0724755265154862E-51</v>
      </c>
      <c r="F18" s="3">
        <f>$B$4+($B$6-$B$4)*POWER($C18,$B$13)</f>
        <v>1</v>
      </c>
      <c r="G18" s="3">
        <f t="shared" si="0"/>
        <v>1.6685758022797354E-5</v>
      </c>
      <c r="H18" s="3">
        <f t="shared" si="2"/>
        <v>1.6685758022797354E-5</v>
      </c>
    </row>
    <row r="19" spans="3:8" x14ac:dyDescent="0.25">
      <c r="C19">
        <f t="shared" si="3"/>
        <v>0.17</v>
      </c>
      <c r="D19">
        <f t="shared" si="1"/>
        <v>0.17</v>
      </c>
      <c r="E19" s="3">
        <f>POWER(C19,$B$13)</f>
        <v>2.7836171215174241E-49</v>
      </c>
      <c r="F19" s="3">
        <f>$B$4+($B$6-$B$4)*POWER($C19,$B$13)</f>
        <v>1</v>
      </c>
      <c r="G19" s="3">
        <f t="shared" si="0"/>
        <v>7.8374143101286543E-6</v>
      </c>
      <c r="H19" s="3">
        <f t="shared" si="2"/>
        <v>7.8374143101286543E-6</v>
      </c>
    </row>
    <row r="20" spans="3:8" x14ac:dyDescent="0.25">
      <c r="C20">
        <f t="shared" si="3"/>
        <v>0.18000000000000002</v>
      </c>
      <c r="D20">
        <f t="shared" si="1"/>
        <v>0.18000000000000002</v>
      </c>
      <c r="E20" s="3">
        <f>POWER(C20,$B$13)</f>
        <v>1.0253490794733496E-47</v>
      </c>
      <c r="F20" s="3">
        <f>$B$4+($B$6-$B$4)*POWER($C20,$B$13)</f>
        <v>1</v>
      </c>
      <c r="G20" s="3">
        <f t="shared" si="0"/>
        <v>3.6477218691085048E-6</v>
      </c>
      <c r="H20" s="3">
        <f t="shared" si="2"/>
        <v>3.6477218691085048E-6</v>
      </c>
    </row>
    <row r="21" spans="3:8" x14ac:dyDescent="0.25">
      <c r="C21">
        <f t="shared" si="3"/>
        <v>0.19000000000000003</v>
      </c>
      <c r="D21">
        <f t="shared" si="1"/>
        <v>0.19000000000000003</v>
      </c>
      <c r="E21" s="3">
        <f>POWER(C21,$B$13)</f>
        <v>3.1076259127513118E-46</v>
      </c>
      <c r="F21" s="3">
        <f>$B$4+($B$6-$B$4)*POWER($C21,$B$13)</f>
        <v>1</v>
      </c>
      <c r="G21" s="3">
        <f t="shared" si="0"/>
        <v>1.6818801817976824E-6</v>
      </c>
      <c r="H21" s="3">
        <f t="shared" si="2"/>
        <v>1.6818801817976824E-6</v>
      </c>
    </row>
    <row r="22" spans="3:8" x14ac:dyDescent="0.25">
      <c r="C22">
        <f t="shared" si="3"/>
        <v>0.20000000000000004</v>
      </c>
      <c r="D22">
        <f t="shared" si="1"/>
        <v>0.20000000000000004</v>
      </c>
      <c r="E22" s="3">
        <f>POWER(C22,$B$13)</f>
        <v>7.906316928964296E-45</v>
      </c>
      <c r="F22" s="3">
        <f>$B$4+($B$6-$B$4)*POWER($C22,$B$13)</f>
        <v>1</v>
      </c>
      <c r="G22" s="3">
        <f t="shared" si="0"/>
        <v>7.6805364382363629E-7</v>
      </c>
      <c r="H22" s="3">
        <f t="shared" si="2"/>
        <v>7.6805364382363629E-7</v>
      </c>
    </row>
    <row r="23" spans="3:8" x14ac:dyDescent="0.25">
      <c r="C23">
        <f t="shared" si="3"/>
        <v>0.21000000000000005</v>
      </c>
      <c r="D23">
        <f t="shared" si="1"/>
        <v>0.21000000000000005</v>
      </c>
      <c r="E23" s="3">
        <f>POWER(C23,$B$13)</f>
        <v>1.7176260042396058E-43</v>
      </c>
      <c r="F23" s="3">
        <f>$B$4+($B$6-$B$4)*POWER($C23,$B$13)</f>
        <v>1</v>
      </c>
      <c r="G23" s="3">
        <f t="shared" si="0"/>
        <v>3.4730108284263203E-7</v>
      </c>
      <c r="H23" s="3">
        <f t="shared" si="2"/>
        <v>3.4730108284263203E-7</v>
      </c>
    </row>
    <row r="24" spans="3:8" x14ac:dyDescent="0.25">
      <c r="C24">
        <f t="shared" si="3"/>
        <v>0.22000000000000006</v>
      </c>
      <c r="D24">
        <f t="shared" si="1"/>
        <v>0.22000000000000006</v>
      </c>
      <c r="E24" s="3">
        <f>POWER(C24,$B$13)</f>
        <v>3.2335240102996092E-42</v>
      </c>
      <c r="F24" s="3">
        <f>$B$4+($B$6-$B$4)*POWER($C24,$B$13)</f>
        <v>1</v>
      </c>
      <c r="G24" s="3">
        <f t="shared" si="0"/>
        <v>1.5546395281543275E-7</v>
      </c>
      <c r="H24" s="3">
        <f t="shared" si="2"/>
        <v>1.5546395281543275E-7</v>
      </c>
    </row>
    <row r="25" spans="3:8" x14ac:dyDescent="0.25">
      <c r="C25">
        <f t="shared" si="3"/>
        <v>0.23000000000000007</v>
      </c>
      <c r="D25">
        <f t="shared" si="1"/>
        <v>0.23000000000000007</v>
      </c>
      <c r="E25" s="3">
        <f>POWER(C25,$B$13)</f>
        <v>5.3425554184169213E-41</v>
      </c>
      <c r="F25" s="3">
        <f>$B$4+($B$6-$B$4)*POWER($C25,$B$13)</f>
        <v>1</v>
      </c>
      <c r="G25" s="3">
        <f t="shared" si="0"/>
        <v>6.8872990090118602E-8</v>
      </c>
      <c r="H25" s="3">
        <f t="shared" si="2"/>
        <v>6.8872990090118602E-8</v>
      </c>
    </row>
    <row r="26" spans="3:8" x14ac:dyDescent="0.25">
      <c r="C26">
        <f t="shared" si="3"/>
        <v>0.24000000000000007</v>
      </c>
      <c r="D26">
        <f t="shared" si="1"/>
        <v>0.24000000000000007</v>
      </c>
      <c r="E26" s="3">
        <f>POWER(C26,$B$13)</f>
        <v>7.8338110667428926E-40</v>
      </c>
      <c r="F26" s="3">
        <f>$B$4+($B$6-$B$4)*POWER($C26,$B$13)</f>
        <v>1</v>
      </c>
      <c r="G26" s="3">
        <f t="shared" si="0"/>
        <v>3.018881518884459E-8</v>
      </c>
      <c r="H26" s="3">
        <f t="shared" si="2"/>
        <v>3.018881518884459E-8</v>
      </c>
    </row>
    <row r="27" spans="3:8" x14ac:dyDescent="0.25">
      <c r="C27">
        <f t="shared" si="3"/>
        <v>0.25000000000000006</v>
      </c>
      <c r="D27">
        <f t="shared" si="1"/>
        <v>0.25000000000000006</v>
      </c>
      <c r="E27" s="3">
        <f>POWER(C27,$B$13)</f>
        <v>1.0293964480923463E-38</v>
      </c>
      <c r="F27" s="3">
        <f>$B$4+($B$6-$B$4)*POWER($C27,$B$13)</f>
        <v>1</v>
      </c>
      <c r="G27" s="3">
        <f t="shared" si="0"/>
        <v>1.3088764469011923E-8</v>
      </c>
      <c r="H27" s="3">
        <f t="shared" si="2"/>
        <v>1.3088764469011923E-8</v>
      </c>
    </row>
    <row r="28" spans="3:8" x14ac:dyDescent="0.25">
      <c r="C28">
        <f t="shared" si="3"/>
        <v>0.26000000000000006</v>
      </c>
      <c r="D28">
        <f t="shared" si="1"/>
        <v>0.26000000000000006</v>
      </c>
      <c r="E28" s="3">
        <f>POWER(C28,$B$13)</f>
        <v>1.2226825626932961E-37</v>
      </c>
      <c r="F28" s="3">
        <f>$B$4+($B$6-$B$4)*POWER($C28,$B$13)</f>
        <v>1</v>
      </c>
      <c r="G28" s="3">
        <f t="shared" si="0"/>
        <v>5.6115044792789975E-9</v>
      </c>
      <c r="H28" s="3">
        <f t="shared" si="2"/>
        <v>5.6115044792789975E-9</v>
      </c>
    </row>
    <row r="29" spans="3:8" x14ac:dyDescent="0.25">
      <c r="C29">
        <f t="shared" si="3"/>
        <v>0.27000000000000007</v>
      </c>
      <c r="D29">
        <f t="shared" si="1"/>
        <v>0.27000000000000007</v>
      </c>
      <c r="E29" s="3">
        <f>POWER(C29,$B$13)</f>
        <v>1.3227539462249598E-36</v>
      </c>
      <c r="F29" s="3">
        <f>$B$4+($B$6-$B$4)*POWER($C29,$B$13)</f>
        <v>1</v>
      </c>
      <c r="G29" s="3">
        <f t="shared" si="0"/>
        <v>2.3782388924043072E-9</v>
      </c>
      <c r="H29" s="3">
        <f t="shared" si="2"/>
        <v>2.3782388924043072E-9</v>
      </c>
    </row>
    <row r="30" spans="3:8" x14ac:dyDescent="0.25">
      <c r="C30">
        <f t="shared" si="3"/>
        <v>0.28000000000000008</v>
      </c>
      <c r="D30">
        <f t="shared" si="1"/>
        <v>0.28000000000000008</v>
      </c>
      <c r="E30" s="3">
        <f>POWER(C30,$B$13)</f>
        <v>1.3122904062535065E-35</v>
      </c>
      <c r="F30" s="3">
        <f>$B$4+($B$6-$B$4)*POWER($C30,$B$13)</f>
        <v>1</v>
      </c>
      <c r="G30" s="3">
        <f t="shared" si="0"/>
        <v>9.960682119833555E-10</v>
      </c>
      <c r="H30" s="3">
        <f t="shared" si="2"/>
        <v>9.960682119833555E-10</v>
      </c>
    </row>
    <row r="31" spans="3:8" x14ac:dyDescent="0.25">
      <c r="C31">
        <f t="shared" si="3"/>
        <v>0.29000000000000009</v>
      </c>
      <c r="D31">
        <f t="shared" si="1"/>
        <v>0.29000000000000009</v>
      </c>
      <c r="E31" s="3">
        <f>POWER(C31,$B$13)</f>
        <v>1.201176526834896E-34</v>
      </c>
      <c r="F31" s="3">
        <f>$B$4+($B$6-$B$4)*POWER($C31,$B$13)</f>
        <v>1</v>
      </c>
      <c r="G31" s="3">
        <f t="shared" si="0"/>
        <v>4.1213193620898815E-10</v>
      </c>
      <c r="H31" s="3">
        <f t="shared" si="2"/>
        <v>4.1213193620898815E-10</v>
      </c>
    </row>
    <row r="32" spans="3:8" x14ac:dyDescent="0.25">
      <c r="C32">
        <f t="shared" si="3"/>
        <v>0.3000000000000001</v>
      </c>
      <c r="D32">
        <f t="shared" si="1"/>
        <v>0.3000000000000001</v>
      </c>
      <c r="E32" s="3">
        <f>POWER(C32,$B$13)</f>
        <v>1.0199562400021203E-33</v>
      </c>
      <c r="F32" s="3">
        <f>$B$4+($B$6-$B$4)*POWER($C32,$B$13)</f>
        <v>1</v>
      </c>
      <c r="G32" s="3">
        <f t="shared" si="0"/>
        <v>1.6840193107069271E-10</v>
      </c>
      <c r="H32" s="3">
        <f t="shared" si="2"/>
        <v>1.6840193107069271E-10</v>
      </c>
    </row>
    <row r="33" spans="3:8" x14ac:dyDescent="0.25">
      <c r="C33">
        <f t="shared" si="3"/>
        <v>0.31000000000000011</v>
      </c>
      <c r="D33">
        <f t="shared" si="1"/>
        <v>0.31000000000000011</v>
      </c>
      <c r="E33" s="3">
        <f>POWER(C33,$B$13)</f>
        <v>8.0740698841912927E-33</v>
      </c>
      <c r="F33" s="3">
        <f>$B$4+($B$6-$B$4)*POWER($C33,$B$13)</f>
        <v>1</v>
      </c>
      <c r="G33" s="3">
        <f t="shared" si="0"/>
        <v>6.7930533142882134E-11</v>
      </c>
      <c r="H33" s="3">
        <f t="shared" si="2"/>
        <v>6.7930533142882134E-11</v>
      </c>
    </row>
    <row r="34" spans="3:8" x14ac:dyDescent="0.25">
      <c r="C34">
        <f t="shared" si="3"/>
        <v>0.32000000000000012</v>
      </c>
      <c r="D34">
        <f t="shared" si="1"/>
        <v>0.32000000000000012</v>
      </c>
      <c r="E34" s="3">
        <f>POWER(C34,$B$13)</f>
        <v>5.9851417490854261E-32</v>
      </c>
      <c r="F34" s="3">
        <f>$B$4+($B$6-$B$4)*POWER($C34,$B$13)</f>
        <v>1</v>
      </c>
      <c r="G34" s="3">
        <f t="shared" si="0"/>
        <v>2.7041254384313733E-11</v>
      </c>
      <c r="H34" s="3">
        <f t="shared" si="2"/>
        <v>2.7041254384313733E-11</v>
      </c>
    </row>
    <row r="35" spans="3:8" x14ac:dyDescent="0.25">
      <c r="C35">
        <f t="shared" si="3"/>
        <v>0.33000000000000013</v>
      </c>
      <c r="D35">
        <f t="shared" si="1"/>
        <v>0.33000000000000013</v>
      </c>
      <c r="E35" s="3">
        <f>POWER(C35,$B$13)</f>
        <v>4.1714151116552845E-31</v>
      </c>
      <c r="F35" s="3">
        <f>$B$4+($B$6-$B$4)*POWER($C35,$B$13)</f>
        <v>1</v>
      </c>
      <c r="G35" s="3">
        <f t="shared" si="0"/>
        <v>1.0618469828925128E-11</v>
      </c>
      <c r="H35" s="3">
        <f t="shared" si="2"/>
        <v>1.0618469828925128E-11</v>
      </c>
    </row>
    <row r="36" spans="3:8" x14ac:dyDescent="0.25">
      <c r="C36">
        <f t="shared" si="3"/>
        <v>0.34000000000000014</v>
      </c>
      <c r="D36">
        <f t="shared" si="1"/>
        <v>0.34000000000000014</v>
      </c>
      <c r="E36" s="3">
        <f>POWER(C36,$B$13)</f>
        <v>2.7435833993426985E-30</v>
      </c>
      <c r="F36" s="3">
        <f>$B$4+($B$6-$B$4)*POWER($C36,$B$13)</f>
        <v>1</v>
      </c>
      <c r="G36" s="3">
        <f t="shared" si="0"/>
        <v>4.1114222080460556E-12</v>
      </c>
      <c r="H36" s="3">
        <f t="shared" si="2"/>
        <v>4.1114222080460556E-12</v>
      </c>
    </row>
    <row r="37" spans="3:8" x14ac:dyDescent="0.25">
      <c r="C37">
        <f t="shared" si="3"/>
        <v>0.35000000000000014</v>
      </c>
      <c r="D37">
        <f t="shared" si="1"/>
        <v>0.35000000000000014</v>
      </c>
      <c r="E37" s="3">
        <f>POWER(C37,$B$13)</f>
        <v>1.7085921234882516E-29</v>
      </c>
      <c r="F37" s="3">
        <f>$B$4+($B$6-$B$4)*POWER($C37,$B$13)</f>
        <v>1</v>
      </c>
      <c r="G37" s="3">
        <f t="shared" si="0"/>
        <v>1.5690284990488436E-12</v>
      </c>
      <c r="H37" s="3">
        <f t="shared" si="2"/>
        <v>1.5690284990488436E-12</v>
      </c>
    </row>
    <row r="38" spans="3:8" x14ac:dyDescent="0.25">
      <c r="C38">
        <f t="shared" si="3"/>
        <v>0.36000000000000015</v>
      </c>
      <c r="D38">
        <f t="shared" si="1"/>
        <v>0.36000000000000015</v>
      </c>
      <c r="E38" s="3">
        <f>POWER(C38,$B$13)</f>
        <v>1.0106026045136862E-28</v>
      </c>
      <c r="F38" s="3">
        <f>$B$4+($B$6-$B$4)*POWER($C38,$B$13)</f>
        <v>1</v>
      </c>
      <c r="G38" s="3">
        <f t="shared" si="0"/>
        <v>5.8990639979076723E-13</v>
      </c>
      <c r="H38" s="3">
        <f t="shared" si="2"/>
        <v>5.8990639979076723E-13</v>
      </c>
    </row>
    <row r="39" spans="3:8" x14ac:dyDescent="0.25">
      <c r="C39">
        <f t="shared" si="3"/>
        <v>0.37000000000000016</v>
      </c>
      <c r="D39">
        <f t="shared" si="1"/>
        <v>0.37000000000000016</v>
      </c>
      <c r="E39" s="3">
        <f>POWER(C39,$B$13)</f>
        <v>5.6933862297518582E-28</v>
      </c>
      <c r="F39" s="3">
        <f>$B$4+($B$6-$B$4)*POWER($C39,$B$13)</f>
        <v>1</v>
      </c>
      <c r="G39" s="3">
        <f t="shared" si="0"/>
        <v>2.1839595674731871E-13</v>
      </c>
      <c r="H39" s="3">
        <f t="shared" si="2"/>
        <v>2.1839595674731871E-13</v>
      </c>
    </row>
    <row r="40" spans="3:8" x14ac:dyDescent="0.25">
      <c r="C40">
        <f t="shared" si="3"/>
        <v>0.38000000000000017</v>
      </c>
      <c r="D40">
        <f t="shared" si="1"/>
        <v>0.38000000000000017</v>
      </c>
      <c r="E40" s="3">
        <f>POWER(C40,$B$13)</f>
        <v>3.062932326319315E-27</v>
      </c>
      <c r="F40" s="3">
        <f>$B$4+($B$6-$B$4)*POWER($C40,$B$13)</f>
        <v>1</v>
      </c>
      <c r="G40" s="3">
        <f t="shared" si="0"/>
        <v>7.9579493631377608E-14</v>
      </c>
      <c r="H40" s="3">
        <f t="shared" si="2"/>
        <v>7.9579493631377608E-14</v>
      </c>
    </row>
    <row r="41" spans="3:8" x14ac:dyDescent="0.25">
      <c r="C41">
        <f t="shared" si="3"/>
        <v>0.39000000000000018</v>
      </c>
      <c r="D41">
        <f t="shared" si="1"/>
        <v>0.39000000000000018</v>
      </c>
      <c r="E41" s="3">
        <f>POWER(C41,$B$13)</f>
        <v>1.5773244616493729E-26</v>
      </c>
      <c r="F41" s="3">
        <f>$B$4+($B$6-$B$4)*POWER($C41,$B$13)</f>
        <v>1</v>
      </c>
      <c r="G41" s="3">
        <f t="shared" si="0"/>
        <v>2.8525172271680279E-14</v>
      </c>
      <c r="H41" s="3">
        <f t="shared" si="2"/>
        <v>2.8525172271680279E-14</v>
      </c>
    </row>
    <row r="42" spans="3:8" x14ac:dyDescent="0.25">
      <c r="C42">
        <f t="shared" si="3"/>
        <v>0.40000000000000019</v>
      </c>
      <c r="D42">
        <f t="shared" si="1"/>
        <v>0.40000000000000019</v>
      </c>
      <c r="E42" s="3">
        <f>POWER(C42,$B$13)</f>
        <v>7.7926090152887288E-26</v>
      </c>
      <c r="F42" s="3">
        <f>$B$4+($B$6-$B$4)*POWER($C42,$B$13)</f>
        <v>1</v>
      </c>
      <c r="G42" s="3">
        <f t="shared" si="0"/>
        <v>1.0052873243573842E-14</v>
      </c>
      <c r="H42" s="3">
        <f t="shared" si="2"/>
        <v>1.0052873243573842E-14</v>
      </c>
    </row>
    <row r="43" spans="3:8" x14ac:dyDescent="0.25">
      <c r="C43">
        <f t="shared" si="3"/>
        <v>0.4100000000000002</v>
      </c>
      <c r="D43">
        <f t="shared" si="1"/>
        <v>0.4100000000000002</v>
      </c>
      <c r="E43" s="3">
        <f>POWER(C43,$B$13)</f>
        <v>3.700948566687338E-25</v>
      </c>
      <c r="F43" s="3">
        <f>$B$4+($B$6-$B$4)*POWER($C43,$B$13)</f>
        <v>1</v>
      </c>
      <c r="G43" s="3">
        <f t="shared" si="0"/>
        <v>3.4812833843296814E-15</v>
      </c>
      <c r="H43" s="3">
        <f t="shared" si="2"/>
        <v>3.4812833843296814E-15</v>
      </c>
    </row>
    <row r="44" spans="3:8" x14ac:dyDescent="0.25">
      <c r="C44">
        <f t="shared" si="3"/>
        <v>0.42000000000000021</v>
      </c>
      <c r="D44">
        <f t="shared" si="1"/>
        <v>0.42000000000000021</v>
      </c>
      <c r="E44" s="3">
        <f>POWER(C44,$B$13)</f>
        <v>1.6929232670268116E-24</v>
      </c>
      <c r="F44" s="3">
        <f>$B$4+($B$6-$B$4)*POWER($C44,$B$13)</f>
        <v>1</v>
      </c>
      <c r="G44" s="3">
        <f t="shared" si="0"/>
        <v>1.183901317903833E-15</v>
      </c>
      <c r="H44" s="3">
        <f t="shared" si="2"/>
        <v>1.183901317903833E-15</v>
      </c>
    </row>
    <row r="45" spans="3:8" x14ac:dyDescent="0.25">
      <c r="C45">
        <f t="shared" si="3"/>
        <v>0.43000000000000022</v>
      </c>
      <c r="D45">
        <f t="shared" si="1"/>
        <v>0.43000000000000022</v>
      </c>
      <c r="E45" s="3">
        <f>POWER(C45,$B$13)</f>
        <v>7.4717615988148585E-24</v>
      </c>
      <c r="F45" s="3">
        <f>$B$4+($B$6-$B$4)*POWER($C45,$B$13)</f>
        <v>1</v>
      </c>
      <c r="G45" s="3">
        <f t="shared" si="0"/>
        <v>3.9513429160531236E-16</v>
      </c>
      <c r="H45" s="3">
        <f t="shared" si="2"/>
        <v>3.9513429160531236E-16</v>
      </c>
    </row>
    <row r="46" spans="3:8" x14ac:dyDescent="0.25">
      <c r="C46">
        <f t="shared" si="3"/>
        <v>0.44000000000000022</v>
      </c>
      <c r="D46">
        <f t="shared" si="1"/>
        <v>0.44000000000000022</v>
      </c>
      <c r="E46" s="3">
        <f>POWER(C46,$B$13)</f>
        <v>3.187019769154858E-23</v>
      </c>
      <c r="F46" s="3">
        <f>$B$4+($B$6-$B$4)*POWER($C46,$B$13)</f>
        <v>1</v>
      </c>
      <c r="G46" s="3">
        <f t="shared" si="0"/>
        <v>1.29341716785781E-16</v>
      </c>
      <c r="H46" s="3">
        <f t="shared" si="2"/>
        <v>1.29341716785781E-16</v>
      </c>
    </row>
    <row r="47" spans="3:8" x14ac:dyDescent="0.25">
      <c r="C47">
        <f t="shared" si="3"/>
        <v>0.45000000000000023</v>
      </c>
      <c r="D47">
        <f t="shared" si="1"/>
        <v>0.45000000000000023</v>
      </c>
      <c r="E47" s="3">
        <f>POWER(C47,$B$13)</f>
        <v>1.3157969012197698E-22</v>
      </c>
      <c r="F47" s="3">
        <f>$B$4+($B$6-$B$4)*POWER($C47,$B$13)</f>
        <v>1</v>
      </c>
      <c r="G47" s="3">
        <f t="shared" si="0"/>
        <v>4.1494754888325144E-17</v>
      </c>
      <c r="H47" s="3">
        <f t="shared" si="2"/>
        <v>4.1494754888325144E-17</v>
      </c>
    </row>
    <row r="48" spans="3:8" x14ac:dyDescent="0.25">
      <c r="C48">
        <f t="shared" si="3"/>
        <v>0.46000000000000024</v>
      </c>
      <c r="D48">
        <f t="shared" si="1"/>
        <v>0.46000000000000024</v>
      </c>
      <c r="E48" s="3">
        <f>POWER(C48,$B$13)</f>
        <v>5.2657192839964709E-22</v>
      </c>
      <c r="F48" s="3">
        <f>$B$4+($B$6-$B$4)*POWER($C48,$B$13)</f>
        <v>1</v>
      </c>
      <c r="G48" s="3">
        <f t="shared" si="0"/>
        <v>1.3037302221719796E-17</v>
      </c>
      <c r="H48" s="3">
        <f t="shared" si="2"/>
        <v>1.3037302221719796E-17</v>
      </c>
    </row>
    <row r="49" spans="3:8" x14ac:dyDescent="0.25">
      <c r="C49">
        <f t="shared" si="3"/>
        <v>0.47000000000000025</v>
      </c>
      <c r="D49">
        <f t="shared" si="1"/>
        <v>0.47000000000000025</v>
      </c>
      <c r="E49" s="3">
        <f>POWER(C49,$B$13)</f>
        <v>2.0453777126681887E-21</v>
      </c>
      <c r="F49" s="3">
        <f>$B$4+($B$6-$B$4)*POWER($C49,$B$13)</f>
        <v>1</v>
      </c>
      <c r="G49" s="3">
        <f t="shared" si="0"/>
        <v>4.0085147631512635E-18</v>
      </c>
      <c r="H49" s="3">
        <f t="shared" si="2"/>
        <v>4.0085147631512635E-18</v>
      </c>
    </row>
    <row r="50" spans="3:8" x14ac:dyDescent="0.25">
      <c r="C50">
        <f t="shared" si="3"/>
        <v>0.48000000000000026</v>
      </c>
      <c r="D50">
        <f t="shared" si="1"/>
        <v>0.48000000000000026</v>
      </c>
      <c r="E50" s="3">
        <f>POWER(C50,$B$13)</f>
        <v>7.721145925624466E-21</v>
      </c>
      <c r="F50" s="3">
        <f>$B$4+($B$6-$B$4)*POWER($C50,$B$13)</f>
        <v>1</v>
      </c>
      <c r="G50" s="3">
        <f t="shared" si="0"/>
        <v>1.2050980559575864E-18</v>
      </c>
      <c r="H50" s="3">
        <f t="shared" si="2"/>
        <v>1.2050980559575864E-18</v>
      </c>
    </row>
    <row r="51" spans="3:8" x14ac:dyDescent="0.25">
      <c r="C51">
        <f t="shared" si="3"/>
        <v>0.49000000000000027</v>
      </c>
      <c r="D51">
        <f t="shared" si="1"/>
        <v>0.49000000000000027</v>
      </c>
      <c r="E51" s="3">
        <f>POWER(C51,$B$13)</f>
        <v>2.8359210388339549E-20</v>
      </c>
      <c r="F51" s="3">
        <f>$B$4+($B$6-$B$4)*POWER($C51,$B$13)</f>
        <v>1</v>
      </c>
      <c r="G51" s="3">
        <f t="shared" si="0"/>
        <v>3.5393660958291345E-19</v>
      </c>
      <c r="H51" s="3">
        <f t="shared" si="2"/>
        <v>3.5393660958291345E-19</v>
      </c>
    </row>
    <row r="52" spans="3:8" x14ac:dyDescent="0.25">
      <c r="C52">
        <f t="shared" si="3"/>
        <v>0.50000000000000022</v>
      </c>
      <c r="D52">
        <f t="shared" si="1"/>
        <v>0.50000000000000022</v>
      </c>
      <c r="E52" s="3">
        <f>POWER(C52,$B$13)</f>
        <v>1.0145917642541704E-19</v>
      </c>
      <c r="F52" s="3">
        <f>$B$4+($B$6-$B$4)*POWER($C52,$B$13)</f>
        <v>1</v>
      </c>
      <c r="G52" s="3">
        <f t="shared" si="0"/>
        <v>1.0145917642541128E-19</v>
      </c>
      <c r="H52" s="3">
        <f t="shared" si="2"/>
        <v>1.0145917642541128E-19</v>
      </c>
    </row>
    <row r="53" spans="3:8" x14ac:dyDescent="0.25">
      <c r="C53">
        <f t="shared" si="3"/>
        <v>0.51000000000000023</v>
      </c>
      <c r="D53">
        <f t="shared" si="1"/>
        <v>0.51000000000000023</v>
      </c>
      <c r="E53" s="3">
        <f>POWER(C53,$B$13)</f>
        <v>3.5393660958293107E-19</v>
      </c>
      <c r="F53" s="3">
        <f>$B$4+($B$6-$B$4)*POWER($C53,$B$13)</f>
        <v>1</v>
      </c>
      <c r="G53" s="3">
        <f t="shared" si="0"/>
        <v>2.8359210388337737E-20</v>
      </c>
      <c r="H53" s="3">
        <f t="shared" si="2"/>
        <v>2.8359210388337737E-20</v>
      </c>
    </row>
    <row r="54" spans="3:8" x14ac:dyDescent="0.25">
      <c r="C54">
        <f t="shared" si="3"/>
        <v>0.52000000000000024</v>
      </c>
      <c r="D54">
        <f t="shared" si="1"/>
        <v>0.52000000000000024</v>
      </c>
      <c r="E54" s="3">
        <f>POWER(C54,$B$13)</f>
        <v>1.2050980559576465E-18</v>
      </c>
      <c r="F54" s="3">
        <f>$B$4+($B$6-$B$4)*POWER($C54,$B$13)</f>
        <v>1</v>
      </c>
      <c r="G54" s="3">
        <f t="shared" si="0"/>
        <v>7.7211459256239168E-21</v>
      </c>
      <c r="H54" s="3">
        <f t="shared" si="2"/>
        <v>7.7211459256239168E-21</v>
      </c>
    </row>
    <row r="55" spans="3:8" x14ac:dyDescent="0.25">
      <c r="C55">
        <f t="shared" si="3"/>
        <v>0.53000000000000025</v>
      </c>
      <c r="D55">
        <f t="shared" si="1"/>
        <v>0.53000000000000025</v>
      </c>
      <c r="E55" s="3">
        <f>POWER(C55,$B$13)</f>
        <v>4.008514763151463E-18</v>
      </c>
      <c r="F55" s="3">
        <f>$B$4+($B$6-$B$4)*POWER($C55,$B$13)</f>
        <v>1</v>
      </c>
      <c r="G55" s="3">
        <f t="shared" si="0"/>
        <v>2.0453777126680725E-21</v>
      </c>
      <c r="H55" s="3">
        <f t="shared" si="2"/>
        <v>2.0453777126680725E-21</v>
      </c>
    </row>
    <row r="56" spans="3:8" x14ac:dyDescent="0.25">
      <c r="C56">
        <f t="shared" si="3"/>
        <v>0.54000000000000026</v>
      </c>
      <c r="D56">
        <f t="shared" si="1"/>
        <v>0.54000000000000026</v>
      </c>
      <c r="E56" s="3">
        <f>POWER(C56,$B$13)</f>
        <v>1.3037302221720444E-17</v>
      </c>
      <c r="F56" s="3">
        <f>$B$4+($B$6-$B$4)*POWER($C56,$B$13)</f>
        <v>1</v>
      </c>
      <c r="G56" s="3">
        <f t="shared" si="0"/>
        <v>5.2657192839960966E-22</v>
      </c>
      <c r="H56" s="3">
        <f t="shared" si="2"/>
        <v>5.2657192839960966E-22</v>
      </c>
    </row>
    <row r="57" spans="3:8" x14ac:dyDescent="0.25">
      <c r="C57">
        <f t="shared" si="3"/>
        <v>0.55000000000000027</v>
      </c>
      <c r="D57">
        <f t="shared" si="1"/>
        <v>0.55000000000000027</v>
      </c>
      <c r="E57" s="3">
        <f>POWER(C57,$B$13)</f>
        <v>4.1494754888327209E-17</v>
      </c>
      <c r="F57" s="3">
        <f>$B$4+($B$6-$B$4)*POWER($C57,$B$13)</f>
        <v>1</v>
      </c>
      <c r="G57" s="3">
        <f t="shared" si="0"/>
        <v>1.3157969012196762E-22</v>
      </c>
      <c r="H57" s="3">
        <f t="shared" si="2"/>
        <v>1.3157969012196762E-22</v>
      </c>
    </row>
    <row r="58" spans="3:8" x14ac:dyDescent="0.25">
      <c r="C58">
        <f t="shared" si="3"/>
        <v>0.56000000000000028</v>
      </c>
      <c r="D58">
        <f t="shared" si="1"/>
        <v>0.56000000000000028</v>
      </c>
      <c r="E58" s="3">
        <f>POWER(C58,$B$13)</f>
        <v>1.2934171678578835E-16</v>
      </c>
      <c r="F58" s="3">
        <f>$B$4+($B$6-$B$4)*POWER($C58,$B$13)</f>
        <v>0.99999999999999989</v>
      </c>
      <c r="G58" s="3">
        <f t="shared" si="0"/>
        <v>3.1870197691546317E-23</v>
      </c>
      <c r="H58" s="3">
        <f t="shared" si="2"/>
        <v>3.1870197691546317E-23</v>
      </c>
    </row>
    <row r="59" spans="3:8" x14ac:dyDescent="0.25">
      <c r="C59">
        <f t="shared" si="3"/>
        <v>0.57000000000000028</v>
      </c>
      <c r="D59">
        <f t="shared" si="1"/>
        <v>0.57000000000000028</v>
      </c>
      <c r="E59" s="3">
        <f>POWER(C59,$B$13)</f>
        <v>3.9513429160532922E-16</v>
      </c>
      <c r="F59" s="3">
        <f>$B$4+($B$6-$B$4)*POWER($C59,$B$13)</f>
        <v>0.99999999999999956</v>
      </c>
      <c r="G59" s="3">
        <f t="shared" si="0"/>
        <v>7.4717615988143281E-24</v>
      </c>
      <c r="H59" s="3">
        <f t="shared" si="2"/>
        <v>7.4717615988143281E-24</v>
      </c>
    </row>
    <row r="60" spans="3:8" x14ac:dyDescent="0.25">
      <c r="C60">
        <f t="shared" si="3"/>
        <v>0.58000000000000029</v>
      </c>
      <c r="D60">
        <f t="shared" si="1"/>
        <v>0.58000000000000029</v>
      </c>
      <c r="E60" s="3">
        <f>POWER(C60,$B$13)</f>
        <v>1.183901317903892E-15</v>
      </c>
      <c r="F60" s="3">
        <f>$B$4+($B$6-$B$4)*POWER($C60,$B$13)</f>
        <v>0.99999999999999878</v>
      </c>
      <c r="G60" s="3">
        <f t="shared" si="0"/>
        <v>1.6929232670267032E-24</v>
      </c>
      <c r="H60" s="3">
        <f t="shared" si="2"/>
        <v>1.6929232670267032E-24</v>
      </c>
    </row>
    <row r="61" spans="3:8" x14ac:dyDescent="0.25">
      <c r="C61">
        <f t="shared" si="3"/>
        <v>0.5900000000000003</v>
      </c>
      <c r="D61">
        <f t="shared" si="1"/>
        <v>0.5900000000000003</v>
      </c>
      <c r="E61" s="3">
        <f>POWER(C61,$B$13)</f>
        <v>3.4812833843298546E-15</v>
      </c>
      <c r="F61" s="3">
        <f>$B$4+($B$6-$B$4)*POWER($C61,$B$13)</f>
        <v>0.99999999999999656</v>
      </c>
      <c r="G61" s="3">
        <f t="shared" si="0"/>
        <v>3.7009485666870487E-25</v>
      </c>
      <c r="H61" s="3">
        <f t="shared" si="2"/>
        <v>3.7009485666870487E-25</v>
      </c>
    </row>
    <row r="62" spans="3:8" x14ac:dyDescent="0.25">
      <c r="C62">
        <f t="shared" si="3"/>
        <v>0.60000000000000031</v>
      </c>
      <c r="D62">
        <f t="shared" si="1"/>
        <v>0.60000000000000031</v>
      </c>
      <c r="E62" s="3">
        <f>POWER(C62,$B$13)</f>
        <v>1.0052873243574342E-14</v>
      </c>
      <c r="F62" s="3">
        <f>$B$4+($B$6-$B$4)*POWER($C62,$B$13)</f>
        <v>0.9999999999999899</v>
      </c>
      <c r="G62" s="3">
        <f t="shared" si="0"/>
        <v>7.7926090152880642E-26</v>
      </c>
      <c r="H62" s="3">
        <f t="shared" si="2"/>
        <v>7.7926090152880642E-26</v>
      </c>
    </row>
    <row r="63" spans="3:8" x14ac:dyDescent="0.25">
      <c r="C63">
        <f t="shared" si="3"/>
        <v>0.61000000000000032</v>
      </c>
      <c r="D63">
        <f t="shared" si="1"/>
        <v>0.61000000000000032</v>
      </c>
      <c r="E63" s="3">
        <f>POWER(C63,$B$13)</f>
        <v>2.8525172271681598E-14</v>
      </c>
      <c r="F63" s="3">
        <f>$B$4+($B$6-$B$4)*POWER($C63,$B$13)</f>
        <v>0.99999999999997147</v>
      </c>
      <c r="G63" s="3">
        <f t="shared" si="0"/>
        <v>1.577324461649261E-26</v>
      </c>
      <c r="H63" s="3">
        <f t="shared" si="2"/>
        <v>1.577324461649261E-26</v>
      </c>
    </row>
    <row r="64" spans="3:8" x14ac:dyDescent="0.25">
      <c r="C64">
        <f t="shared" si="3"/>
        <v>0.62000000000000033</v>
      </c>
      <c r="D64">
        <f t="shared" si="1"/>
        <v>0.62000000000000033</v>
      </c>
      <c r="E64" s="3">
        <f>POWER(C64,$B$13)</f>
        <v>7.9579493631381281E-14</v>
      </c>
      <c r="F64" s="3">
        <f>$B$4+($B$6-$B$4)*POWER($C64,$B$13)</f>
        <v>0.9999999999999204</v>
      </c>
      <c r="G64" s="3">
        <f t="shared" si="0"/>
        <v>3.0629323263190539E-27</v>
      </c>
      <c r="H64" s="3">
        <f t="shared" si="2"/>
        <v>3.0629323263190539E-27</v>
      </c>
    </row>
    <row r="65" spans="3:8" x14ac:dyDescent="0.25">
      <c r="C65">
        <f t="shared" si="3"/>
        <v>0.63000000000000034</v>
      </c>
      <c r="D65">
        <f t="shared" si="1"/>
        <v>0.63000000000000034</v>
      </c>
      <c r="E65" s="3">
        <f>POWER(C65,$B$13)</f>
        <v>2.1839595674732878E-13</v>
      </c>
      <c r="F65" s="3">
        <f>$B$4+($B$6-$B$4)*POWER($C65,$B$13)</f>
        <v>0.99999999999978162</v>
      </c>
      <c r="G65" s="3">
        <f t="shared" si="0"/>
        <v>5.6933862297513731E-28</v>
      </c>
      <c r="H65" s="3">
        <f t="shared" si="2"/>
        <v>5.6933862297513731E-28</v>
      </c>
    </row>
    <row r="66" spans="3:8" x14ac:dyDescent="0.25">
      <c r="C66">
        <f t="shared" si="3"/>
        <v>0.64000000000000035</v>
      </c>
      <c r="D66">
        <f t="shared" si="1"/>
        <v>0.64000000000000035</v>
      </c>
      <c r="E66" s="3">
        <f>POWER(C66,$B$13)</f>
        <v>5.8990639979079237E-13</v>
      </c>
      <c r="F66" s="3">
        <f>$B$4+($B$6-$B$4)*POWER($C66,$B$13)</f>
        <v>0.99999999999941014</v>
      </c>
      <c r="G66" s="3">
        <f t="shared" ref="G66:G101" si="4">IF(ABS(1-$C66)&lt;0.000001, 0, POWER(1-$C66,$B$13))</f>
        <v>1.0106026045135999E-28</v>
      </c>
      <c r="H66" s="3">
        <f t="shared" si="2"/>
        <v>1.0106026045135999E-28</v>
      </c>
    </row>
    <row r="67" spans="3:8" x14ac:dyDescent="0.25">
      <c r="C67">
        <f t="shared" si="3"/>
        <v>0.65000000000000036</v>
      </c>
      <c r="D67">
        <f t="shared" ref="D67:D102" si="5">$B$3+($B$5-$B$3)*C67</f>
        <v>0.65000000000000036</v>
      </c>
      <c r="E67" s="3">
        <f>POWER(C67,$B$13)</f>
        <v>1.5690284990489105E-12</v>
      </c>
      <c r="F67" s="3">
        <f>$B$4+($B$6-$B$4)*POWER($C67,$B$13)</f>
        <v>0.99999999999843092</v>
      </c>
      <c r="G67" s="3">
        <f t="shared" si="4"/>
        <v>1.7085921234880815E-29</v>
      </c>
      <c r="H67" s="3">
        <f t="shared" ref="H67:H102" si="6">$B$6-($B$6-$B$4)*G67</f>
        <v>1.7085921234880815E-29</v>
      </c>
    </row>
    <row r="68" spans="3:8" x14ac:dyDescent="0.25">
      <c r="C68">
        <f t="shared" ref="C68:C81" si="7">C67+0.01</f>
        <v>0.66000000000000036</v>
      </c>
      <c r="D68">
        <f t="shared" si="5"/>
        <v>0.66000000000000036</v>
      </c>
      <c r="E68" s="3">
        <f>POWER(C68,$B$13)</f>
        <v>4.1114222080462309E-12</v>
      </c>
      <c r="F68" s="3">
        <f>$B$4+($B$6-$B$4)*POWER($C68,$B$13)</f>
        <v>0.99999999999588862</v>
      </c>
      <c r="G68" s="3">
        <f t="shared" si="4"/>
        <v>2.7435833993424256E-30</v>
      </c>
      <c r="H68" s="3">
        <f t="shared" si="6"/>
        <v>2.7435833993424256E-30</v>
      </c>
    </row>
    <row r="69" spans="3:8" x14ac:dyDescent="0.25">
      <c r="C69">
        <f t="shared" si="7"/>
        <v>0.67000000000000037</v>
      </c>
      <c r="D69">
        <f t="shared" si="5"/>
        <v>0.67000000000000037</v>
      </c>
      <c r="E69" s="3">
        <f>POWER(C69,$B$13)</f>
        <v>1.0618469828925582E-11</v>
      </c>
      <c r="F69" s="3">
        <f>$B$4+($B$6-$B$4)*POWER($C69,$B$13)</f>
        <v>0.99999999998938149</v>
      </c>
      <c r="G69" s="3">
        <f t="shared" si="4"/>
        <v>4.1714151116548693E-31</v>
      </c>
      <c r="H69" s="3">
        <f t="shared" si="6"/>
        <v>4.1714151116548693E-31</v>
      </c>
    </row>
    <row r="70" spans="3:8" x14ac:dyDescent="0.25">
      <c r="C70">
        <f t="shared" si="7"/>
        <v>0.68000000000000038</v>
      </c>
      <c r="D70">
        <f t="shared" si="5"/>
        <v>0.68000000000000038</v>
      </c>
      <c r="E70" s="3">
        <f>POWER(C70,$B$13)</f>
        <v>2.7041254384314883E-11</v>
      </c>
      <c r="F70" s="3">
        <f>$B$4+($B$6-$B$4)*POWER($C70,$B$13)</f>
        <v>0.99999999997295874</v>
      </c>
      <c r="G70" s="3">
        <f t="shared" si="4"/>
        <v>5.9851417490848306E-32</v>
      </c>
      <c r="H70" s="3">
        <f t="shared" si="6"/>
        <v>5.9851417490848306E-32</v>
      </c>
    </row>
    <row r="71" spans="3:8" x14ac:dyDescent="0.25">
      <c r="C71">
        <f t="shared" si="7"/>
        <v>0.69000000000000039</v>
      </c>
      <c r="D71">
        <f t="shared" si="5"/>
        <v>0.69000000000000039</v>
      </c>
      <c r="E71" s="3">
        <f>POWER(C71,$B$13)</f>
        <v>6.7930533142885029E-11</v>
      </c>
      <c r="F71" s="3">
        <f>$B$4+($B$6-$B$4)*POWER($C71,$B$13)</f>
        <v>0.99999999993206945</v>
      </c>
      <c r="G71" s="3">
        <f t="shared" si="4"/>
        <v>8.0740698841904908E-33</v>
      </c>
      <c r="H71" s="3">
        <f t="shared" si="6"/>
        <v>8.0740698841904908E-33</v>
      </c>
    </row>
    <row r="72" spans="3:8" x14ac:dyDescent="0.25">
      <c r="C72">
        <f t="shared" si="7"/>
        <v>0.7000000000000004</v>
      </c>
      <c r="D72">
        <f t="shared" si="5"/>
        <v>0.7000000000000004</v>
      </c>
      <c r="E72" s="3">
        <f>POWER(C72,$B$13)</f>
        <v>1.6840193107069989E-10</v>
      </c>
      <c r="F72" s="3">
        <f>$B$4+($B$6-$B$4)*POWER($C72,$B$13)</f>
        <v>0.99999999983159804</v>
      </c>
      <c r="G72" s="3">
        <f t="shared" si="4"/>
        <v>1.0199562400020187E-33</v>
      </c>
      <c r="H72" s="3">
        <f t="shared" si="6"/>
        <v>1.0199562400020187E-33</v>
      </c>
    </row>
    <row r="73" spans="3:8" x14ac:dyDescent="0.25">
      <c r="C73">
        <f t="shared" si="7"/>
        <v>0.71000000000000041</v>
      </c>
      <c r="D73">
        <f t="shared" si="5"/>
        <v>0.71000000000000041</v>
      </c>
      <c r="E73" s="3">
        <f>POWER(C73,$B$13)</f>
        <v>4.1213193620900423E-10</v>
      </c>
      <c r="F73" s="3">
        <f>$B$4+($B$6-$B$4)*POWER($C73,$B$13)</f>
        <v>0.99999999958786812</v>
      </c>
      <c r="G73" s="3">
        <f t="shared" si="4"/>
        <v>1.2011765268347596E-34</v>
      </c>
      <c r="H73" s="3">
        <f t="shared" si="6"/>
        <v>1.2011765268347596E-34</v>
      </c>
    </row>
    <row r="74" spans="3:8" x14ac:dyDescent="0.25">
      <c r="C74">
        <f t="shared" si="7"/>
        <v>0.72000000000000042</v>
      </c>
      <c r="D74">
        <f t="shared" si="5"/>
        <v>0.72000000000000042</v>
      </c>
      <c r="E74" s="3">
        <f>POWER(C74,$B$13)</f>
        <v>9.9606821198339438E-10</v>
      </c>
      <c r="F74" s="3">
        <f>$B$4+($B$6-$B$4)*POWER($C74,$B$13)</f>
        <v>0.99999999900393177</v>
      </c>
      <c r="G74" s="3">
        <f t="shared" si="4"/>
        <v>1.3122904062533574E-35</v>
      </c>
      <c r="H74" s="3">
        <f t="shared" si="6"/>
        <v>1.3122904062533574E-35</v>
      </c>
    </row>
    <row r="75" spans="3:8" x14ac:dyDescent="0.25">
      <c r="C75">
        <f t="shared" si="7"/>
        <v>0.73000000000000043</v>
      </c>
      <c r="D75">
        <f t="shared" si="5"/>
        <v>0.73000000000000043</v>
      </c>
      <c r="E75" s="3">
        <f>POWER(C75,$B$13)</f>
        <v>2.3782388924043916E-9</v>
      </c>
      <c r="F75" s="3">
        <f>$B$4+($B$6-$B$4)*POWER($C75,$B$13)</f>
        <v>0.99999999762176106</v>
      </c>
      <c r="G75" s="3">
        <f t="shared" si="4"/>
        <v>1.3227539462248093E-36</v>
      </c>
      <c r="H75" s="3">
        <f t="shared" si="6"/>
        <v>1.3227539462248093E-36</v>
      </c>
    </row>
    <row r="76" spans="3:8" x14ac:dyDescent="0.25">
      <c r="C76">
        <f t="shared" si="7"/>
        <v>0.74000000000000044</v>
      </c>
      <c r="D76">
        <f t="shared" si="5"/>
        <v>0.74000000000000044</v>
      </c>
      <c r="E76" s="3">
        <f>POWER(C76,$B$13)</f>
        <v>5.6115044792792167E-9</v>
      </c>
      <c r="F76" s="3">
        <f>$B$4+($B$6-$B$4)*POWER($C76,$B$13)</f>
        <v>0.99999999438849552</v>
      </c>
      <c r="G76" s="3">
        <f t="shared" si="4"/>
        <v>1.2226825626931397E-37</v>
      </c>
      <c r="H76" s="3">
        <f t="shared" si="6"/>
        <v>1.2226825626931397E-37</v>
      </c>
    </row>
    <row r="77" spans="3:8" x14ac:dyDescent="0.25">
      <c r="C77">
        <f t="shared" si="7"/>
        <v>0.75000000000000044</v>
      </c>
      <c r="D77">
        <f t="shared" si="5"/>
        <v>0.75000000000000044</v>
      </c>
      <c r="E77" s="3">
        <f>POWER(C77,$B$13)</f>
        <v>1.3088764469012388E-8</v>
      </c>
      <c r="F77" s="3">
        <f>$B$4+($B$6-$B$4)*POWER($C77,$B$13)</f>
        <v>0.99999998691123548</v>
      </c>
      <c r="G77" s="3">
        <f t="shared" si="4"/>
        <v>1.0293964480922147E-38</v>
      </c>
      <c r="H77" s="3">
        <f t="shared" si="6"/>
        <v>1.0293964480922147E-38</v>
      </c>
    </row>
    <row r="78" spans="3:8" x14ac:dyDescent="0.25">
      <c r="C78">
        <f t="shared" si="7"/>
        <v>0.76000000000000045</v>
      </c>
      <c r="D78">
        <f t="shared" si="5"/>
        <v>0.76000000000000045</v>
      </c>
      <c r="E78" s="3">
        <f>POWER(C78,$B$13)</f>
        <v>3.018881518884588E-8</v>
      </c>
      <c r="F78" s="3">
        <f>$B$4+($B$6-$B$4)*POWER($C78,$B$13)</f>
        <v>0.99999996981118477</v>
      </c>
      <c r="G78" s="3">
        <f t="shared" si="4"/>
        <v>7.8338110667417801E-40</v>
      </c>
      <c r="H78" s="3">
        <f t="shared" si="6"/>
        <v>7.8338110667417801E-40</v>
      </c>
    </row>
    <row r="79" spans="3:8" x14ac:dyDescent="0.25">
      <c r="C79">
        <f t="shared" si="7"/>
        <v>0.77000000000000046</v>
      </c>
      <c r="D79">
        <f t="shared" si="5"/>
        <v>0.77000000000000046</v>
      </c>
      <c r="E79" s="3">
        <f>POWER(C79,$B$13)</f>
        <v>6.8872990090121792E-8</v>
      </c>
      <c r="F79" s="3">
        <f>$B$4+($B$6-$B$4)*POWER($C79,$B$13)</f>
        <v>0.99999993112700991</v>
      </c>
      <c r="G79" s="3">
        <f t="shared" si="4"/>
        <v>5.3425554184161617E-41</v>
      </c>
      <c r="H79" s="3">
        <f t="shared" si="6"/>
        <v>5.3425554184161617E-41</v>
      </c>
    </row>
    <row r="80" spans="3:8" x14ac:dyDescent="0.25">
      <c r="C80">
        <f t="shared" si="7"/>
        <v>0.78000000000000047</v>
      </c>
      <c r="D80">
        <f t="shared" si="5"/>
        <v>0.78000000000000047</v>
      </c>
      <c r="E80" s="3">
        <f>POWER(C80,$B$13)</f>
        <v>1.5546395281543966E-7</v>
      </c>
      <c r="F80" s="3">
        <f>$B$4+($B$6-$B$4)*POWER($C80,$B$13)</f>
        <v>0.99999984453604718</v>
      </c>
      <c r="G80" s="3">
        <f t="shared" si="4"/>
        <v>3.2335240102991032E-42</v>
      </c>
      <c r="H80" s="3">
        <f t="shared" si="6"/>
        <v>3.2335240102991032E-42</v>
      </c>
    </row>
    <row r="81" spans="3:8" x14ac:dyDescent="0.25">
      <c r="C81">
        <f t="shared" si="7"/>
        <v>0.79000000000000048</v>
      </c>
      <c r="D81">
        <f t="shared" si="5"/>
        <v>0.79000000000000048</v>
      </c>
      <c r="E81" s="3">
        <f>POWER(C81,$B$13)</f>
        <v>3.4730108284264685E-7</v>
      </c>
      <c r="F81" s="3">
        <f>$B$4+($B$6-$B$4)*POWER($C81,$B$13)</f>
        <v>0.99999965269891711</v>
      </c>
      <c r="G81" s="3">
        <f t="shared" si="4"/>
        <v>1.7176260042393374E-43</v>
      </c>
      <c r="H81" s="3">
        <f t="shared" si="6"/>
        <v>1.7176260042393374E-43</v>
      </c>
    </row>
    <row r="82" spans="3:8" x14ac:dyDescent="0.25">
      <c r="C82">
        <f>C81+0.01</f>
        <v>0.80000000000000049</v>
      </c>
      <c r="D82">
        <f t="shared" si="5"/>
        <v>0.80000000000000049</v>
      </c>
      <c r="E82" s="3">
        <f>POWER(C82,$B$13)</f>
        <v>7.6805364382367038E-7</v>
      </c>
      <c r="F82" s="3">
        <f>$B$4+($B$6-$B$4)*POWER($C82,$B$13)</f>
        <v>0.9999992319463562</v>
      </c>
      <c r="G82" s="3">
        <f t="shared" si="4"/>
        <v>7.9063169289630601E-45</v>
      </c>
      <c r="H82" s="3">
        <f t="shared" si="6"/>
        <v>7.9063169289630601E-45</v>
      </c>
    </row>
    <row r="83" spans="3:8" x14ac:dyDescent="0.25">
      <c r="C83">
        <f t="shared" ref="C83:C102" si="8">C82+0.01</f>
        <v>0.8100000000000005</v>
      </c>
      <c r="D83">
        <f t="shared" si="5"/>
        <v>0.8100000000000005</v>
      </c>
      <c r="E83" s="3">
        <f>POWER(C83,$B$13)</f>
        <v>1.681880181797757E-6</v>
      </c>
      <c r="F83" s="3">
        <f>$B$4+($B$6-$B$4)*POWER($C83,$B$13)</f>
        <v>0.99999831811981821</v>
      </c>
      <c r="G83" s="3">
        <f t="shared" si="4"/>
        <v>3.1076259127507377E-46</v>
      </c>
      <c r="H83" s="3">
        <f t="shared" si="6"/>
        <v>3.1076259127507377E-46</v>
      </c>
    </row>
    <row r="84" spans="3:8" x14ac:dyDescent="0.25">
      <c r="C84">
        <f t="shared" si="8"/>
        <v>0.82000000000000051</v>
      </c>
      <c r="D84">
        <f t="shared" si="5"/>
        <v>0.82000000000000051</v>
      </c>
      <c r="E84" s="3">
        <f>POWER(C84,$B$13)</f>
        <v>3.6477218691086606E-6</v>
      </c>
      <c r="F84" s="3">
        <f>$B$4+($B$6-$B$4)*POWER($C84,$B$13)</f>
        <v>0.99999635227813088</v>
      </c>
      <c r="G84" s="3">
        <f t="shared" si="4"/>
        <v>1.0253490794731601E-47</v>
      </c>
      <c r="H84" s="3">
        <f t="shared" si="6"/>
        <v>1.0253490794731601E-47</v>
      </c>
    </row>
    <row r="85" spans="3:8" x14ac:dyDescent="0.25">
      <c r="C85">
        <f t="shared" si="8"/>
        <v>0.83000000000000052</v>
      </c>
      <c r="D85">
        <f t="shared" si="5"/>
        <v>0.83000000000000052</v>
      </c>
      <c r="E85" s="3">
        <f>POWER(C85,$B$13)</f>
        <v>7.837414310128988E-6</v>
      </c>
      <c r="F85" s="3">
        <f>$B$4+($B$6-$B$4)*POWER($C85,$B$13)</f>
        <v>0.9999921625856899</v>
      </c>
      <c r="G85" s="3">
        <f t="shared" si="4"/>
        <v>2.7836171215168703E-49</v>
      </c>
      <c r="H85" s="3">
        <f t="shared" si="6"/>
        <v>2.7836171215168703E-49</v>
      </c>
    </row>
    <row r="86" spans="3:8" x14ac:dyDescent="0.25">
      <c r="C86">
        <f t="shared" si="8"/>
        <v>0.84000000000000052</v>
      </c>
      <c r="D86">
        <f t="shared" si="5"/>
        <v>0.84000000000000052</v>
      </c>
      <c r="E86" s="3">
        <f>POWER(C86,$B$13)</f>
        <v>1.6685758022798035E-5</v>
      </c>
      <c r="F86" s="3">
        <f>$B$4+($B$6-$B$4)*POWER($C86,$B$13)</f>
        <v>0.99998331424197717</v>
      </c>
      <c r="G86" s="3">
        <f t="shared" si="4"/>
        <v>6.0724755265143645E-51</v>
      </c>
      <c r="H86" s="3">
        <f t="shared" si="6"/>
        <v>6.0724755265143645E-51</v>
      </c>
    </row>
    <row r="87" spans="3:8" x14ac:dyDescent="0.25">
      <c r="C87">
        <f t="shared" si="8"/>
        <v>0.85000000000000053</v>
      </c>
      <c r="D87">
        <f t="shared" si="5"/>
        <v>0.85000000000000053</v>
      </c>
      <c r="E87" s="3">
        <f>POWER(C87,$B$13)</f>
        <v>3.5207507446607741E-5</v>
      </c>
      <c r="F87" s="3">
        <f>$B$4+($B$6-$B$4)*POWER($C87,$B$13)</f>
        <v>0.99996479249255343</v>
      </c>
      <c r="G87" s="3">
        <f t="shared" si="4"/>
        <v>1.0348392010055146E-52</v>
      </c>
      <c r="H87" s="3">
        <f t="shared" si="6"/>
        <v>1.0348392010055146E-52</v>
      </c>
    </row>
    <row r="88" spans="3:8" x14ac:dyDescent="0.25">
      <c r="C88">
        <f t="shared" si="8"/>
        <v>0.86000000000000054</v>
      </c>
      <c r="D88">
        <f t="shared" si="5"/>
        <v>0.86000000000000054</v>
      </c>
      <c r="E88" s="3">
        <f>POWER(C88,$B$13)</f>
        <v>7.3643034194227527E-5</v>
      </c>
      <c r="F88" s="3">
        <f>$B$4+($B$6-$B$4)*POWER($C88,$B$13)</f>
        <v>0.99992635696580578</v>
      </c>
      <c r="G88" s="3">
        <f t="shared" si="4"/>
        <v>1.3314390384941603E-54</v>
      </c>
      <c r="H88" s="3">
        <f t="shared" si="6"/>
        <v>1.3314390384941603E-54</v>
      </c>
    </row>
    <row r="89" spans="3:8" x14ac:dyDescent="0.25">
      <c r="C89">
        <f t="shared" si="8"/>
        <v>0.87000000000000055</v>
      </c>
      <c r="D89">
        <f t="shared" si="5"/>
        <v>0.87000000000000055</v>
      </c>
      <c r="E89" s="3">
        <f>POWER(C89,$B$13)</f>
        <v>1.5272946273113517E-4</v>
      </c>
      <c r="F89" s="3">
        <f>$B$4+($B$6-$B$4)*POWER($C89,$B$13)</f>
        <v>0.99984727053726885</v>
      </c>
      <c r="G89" s="3">
        <f t="shared" si="4"/>
        <v>1.2405236584053875E-56</v>
      </c>
      <c r="H89" s="3">
        <f t="shared" si="6"/>
        <v>1.2405236584053875E-56</v>
      </c>
    </row>
    <row r="90" spans="3:8" x14ac:dyDescent="0.25">
      <c r="C90">
        <f t="shared" si="8"/>
        <v>0.88000000000000056</v>
      </c>
      <c r="D90">
        <f t="shared" si="5"/>
        <v>0.88000000000000056</v>
      </c>
      <c r="E90" s="3">
        <f>POWER(C90,$B$13)</f>
        <v>3.1411843476748216E-4</v>
      </c>
      <c r="F90" s="3">
        <f>$B$4+($B$6-$B$4)*POWER($C90,$B$13)</f>
        <v>0.99968588156523253</v>
      </c>
      <c r="G90" s="3">
        <f t="shared" si="4"/>
        <v>7.9481201910377497E-59</v>
      </c>
      <c r="H90" s="3">
        <f t="shared" si="6"/>
        <v>7.9481201910377497E-59</v>
      </c>
    </row>
    <row r="91" spans="3:8" x14ac:dyDescent="0.25">
      <c r="C91">
        <f t="shared" si="8"/>
        <v>0.89000000000000057</v>
      </c>
      <c r="D91">
        <f t="shared" si="5"/>
        <v>0.89000000000000057</v>
      </c>
      <c r="E91" s="3">
        <f>POWER(C91,$B$13)</f>
        <v>6.4080412516992371E-4</v>
      </c>
      <c r="F91" s="3">
        <f>$B$4+($B$6-$B$4)*POWER($C91,$B$13)</f>
        <v>0.99935919587483013</v>
      </c>
      <c r="G91" s="3">
        <f t="shared" si="4"/>
        <v>3.280706830366865E-61</v>
      </c>
      <c r="H91" s="3">
        <f t="shared" si="6"/>
        <v>3.280706830366865E-61</v>
      </c>
    </row>
    <row r="92" spans="3:8" x14ac:dyDescent="0.25">
      <c r="C92">
        <f t="shared" si="8"/>
        <v>0.90000000000000058</v>
      </c>
      <c r="D92">
        <f t="shared" si="5"/>
        <v>0.90000000000000058</v>
      </c>
      <c r="E92" s="3">
        <f>POWER(C92,$B$13)</f>
        <v>1.2968732327401263E-3</v>
      </c>
      <c r="F92" s="3">
        <f>$B$4+($B$6-$B$4)*POWER($C92,$B$13)</f>
        <v>0.99870312676725992</v>
      </c>
      <c r="G92" s="3">
        <f t="shared" si="4"/>
        <v>8.0216840417071376E-64</v>
      </c>
      <c r="H92" s="3">
        <f t="shared" si="6"/>
        <v>8.0216840417071376E-64</v>
      </c>
    </row>
    <row r="93" spans="3:8" x14ac:dyDescent="0.25">
      <c r="C93">
        <f t="shared" si="8"/>
        <v>0.91000000000000059</v>
      </c>
      <c r="D93">
        <f t="shared" si="5"/>
        <v>0.91000000000000059</v>
      </c>
      <c r="E93" s="3">
        <f>POWER(C93,$B$13)</f>
        <v>2.6042733486904635E-3</v>
      </c>
      <c r="F93" s="3">
        <f>$B$4+($B$6-$B$4)*POWER($C93,$B$13)</f>
        <v>0.99739572665130949</v>
      </c>
      <c r="G93" s="3">
        <f t="shared" si="4"/>
        <v>1.0403107315187897E-66</v>
      </c>
      <c r="H93" s="3">
        <f t="shared" si="6"/>
        <v>1.0403107315187897E-66</v>
      </c>
    </row>
    <row r="94" spans="3:8" x14ac:dyDescent="0.25">
      <c r="C94">
        <f t="shared" si="8"/>
        <v>0.9200000000000006</v>
      </c>
      <c r="D94">
        <f t="shared" si="5"/>
        <v>0.9200000000000006</v>
      </c>
      <c r="E94" s="3">
        <f>POWER(C94,$B$13)</f>
        <v>5.1899881997046361E-3</v>
      </c>
      <c r="F94" s="3">
        <f>$B$4+($B$6-$B$4)*POWER($C94,$B$13)</f>
        <v>0.99481001180029538</v>
      </c>
      <c r="G94" s="3">
        <f t="shared" si="4"/>
        <v>6.1610836578346861E-70</v>
      </c>
      <c r="H94" s="3">
        <f t="shared" si="6"/>
        <v>6.1610836578346861E-70</v>
      </c>
    </row>
    <row r="95" spans="3:8" x14ac:dyDescent="0.25">
      <c r="C95">
        <f t="shared" si="8"/>
        <v>0.9300000000000006</v>
      </c>
      <c r="D95">
        <f t="shared" si="5"/>
        <v>0.9300000000000006</v>
      </c>
      <c r="E95" s="3">
        <f>POWER(C95,$B$13)</f>
        <v>1.0266170940881884E-2</v>
      </c>
      <c r="F95" s="3">
        <f>$B$4+($B$6-$B$4)*POWER($C95,$B$13)</f>
        <v>0.98973382905911811</v>
      </c>
      <c r="G95" s="3">
        <f t="shared" si="4"/>
        <v>1.3508670830622156E-73</v>
      </c>
      <c r="H95" s="3">
        <f t="shared" si="6"/>
        <v>1.3508670830622156E-73</v>
      </c>
    </row>
    <row r="96" spans="3:8" x14ac:dyDescent="0.25">
      <c r="C96">
        <f t="shared" si="8"/>
        <v>0.94000000000000061</v>
      </c>
      <c r="D96">
        <f t="shared" si="5"/>
        <v>0.94000000000000061</v>
      </c>
      <c r="E96" s="3">
        <f>POWER(C96,$B$13)</f>
        <v>2.0159612809116725E-2</v>
      </c>
      <c r="F96" s="3">
        <f>$B$4+($B$6-$B$4)*POWER($C96,$B$13)</f>
        <v>0.97984038719088329</v>
      </c>
      <c r="G96" s="3">
        <f t="shared" si="4"/>
        <v>8.0640972871260337E-78</v>
      </c>
      <c r="H96" s="3">
        <f t="shared" si="6"/>
        <v>8.0640972871260337E-78</v>
      </c>
    </row>
    <row r="97" spans="3:8" x14ac:dyDescent="0.25">
      <c r="C97">
        <f t="shared" si="8"/>
        <v>0.95000000000000062</v>
      </c>
      <c r="D97">
        <f t="shared" si="5"/>
        <v>0.95000000000000062</v>
      </c>
      <c r="E97" s="3">
        <f>POWER(C97,$B$13)</f>
        <v>3.9305607663750533E-2</v>
      </c>
      <c r="F97" s="3">
        <f>$B$4+($B$6-$B$4)*POWER($C97,$B$13)</f>
        <v>0.96069439233624943</v>
      </c>
      <c r="G97" s="3">
        <f t="shared" si="4"/>
        <v>8.138734564161757E-83</v>
      </c>
      <c r="H97" s="3">
        <f t="shared" si="6"/>
        <v>8.138734564161757E-83</v>
      </c>
    </row>
    <row r="98" spans="3:8" x14ac:dyDescent="0.25">
      <c r="C98">
        <f t="shared" si="8"/>
        <v>0.96000000000000063</v>
      </c>
      <c r="D98">
        <f t="shared" si="5"/>
        <v>0.96000000000000063</v>
      </c>
      <c r="E98" s="3">
        <f>POWER(C98,$B$13)</f>
        <v>7.6101011240719024E-2</v>
      </c>
      <c r="F98" s="3">
        <f>$B$4+($B$6-$B$4)*POWER($C98,$B$13)</f>
        <v>0.923898988759281</v>
      </c>
      <c r="G98" s="3">
        <f t="shared" si="4"/>
        <v>6.2509847381165239E-89</v>
      </c>
      <c r="H98" s="3">
        <f t="shared" si="6"/>
        <v>6.2509847381165239E-89</v>
      </c>
    </row>
    <row r="99" spans="3:8" x14ac:dyDescent="0.25">
      <c r="C99">
        <f t="shared" si="8"/>
        <v>0.97000000000000064</v>
      </c>
      <c r="D99">
        <f t="shared" si="5"/>
        <v>0.97000000000000064</v>
      </c>
      <c r="E99" s="3">
        <f>POWER(C99,$B$13)</f>
        <v>0.14633656552450222</v>
      </c>
      <c r="F99" s="3">
        <f>$B$4+($B$6-$B$4)*POWER($C99,$B$13)</f>
        <v>0.85366343447549775</v>
      </c>
      <c r="G99" s="3">
        <f t="shared" si="4"/>
        <v>8.181766693656484E-97</v>
      </c>
      <c r="H99" s="3">
        <f t="shared" si="6"/>
        <v>8.181766693656484E-97</v>
      </c>
    </row>
    <row r="100" spans="3:8" x14ac:dyDescent="0.25">
      <c r="C100">
        <f t="shared" si="8"/>
        <v>0.98000000000000065</v>
      </c>
      <c r="D100">
        <f t="shared" si="5"/>
        <v>0.98000000000000065</v>
      </c>
      <c r="E100" s="3">
        <f>POWER(C100,$B$13)</f>
        <v>0.27951350865919483</v>
      </c>
      <c r="F100" s="3">
        <f>$B$4+($B$6-$B$4)*POWER($C100,$B$13)</f>
        <v>0.72048649134080511</v>
      </c>
      <c r="G100" s="3">
        <f t="shared" si="4"/>
        <v>6.3421976337647332E-108</v>
      </c>
      <c r="H100" s="3">
        <f t="shared" si="6"/>
        <v>6.3421976337647332E-108</v>
      </c>
    </row>
    <row r="101" spans="3:8" x14ac:dyDescent="0.25">
      <c r="C101">
        <f t="shared" si="8"/>
        <v>0.99000000000000066</v>
      </c>
      <c r="D101">
        <f t="shared" si="5"/>
        <v>0.99000000000000066</v>
      </c>
      <c r="E101" s="3">
        <f>POWER(C101,$B$13)</f>
        <v>0.53039497076287112</v>
      </c>
      <c r="F101" s="3">
        <f>$B$4+($B$6-$B$4)*POWER($C101,$B$13)</f>
        <v>0.46960502923712888</v>
      </c>
      <c r="G101" s="3">
        <f t="shared" si="4"/>
        <v>6.4347414864759496E-127</v>
      </c>
      <c r="H101" s="3">
        <f t="shared" si="6"/>
        <v>6.4347414864759496E-127</v>
      </c>
    </row>
    <row r="102" spans="3:8" x14ac:dyDescent="0.25">
      <c r="C102">
        <f t="shared" si="8"/>
        <v>1.0000000000000007</v>
      </c>
      <c r="D102">
        <f t="shared" si="5"/>
        <v>1.0000000000000007</v>
      </c>
      <c r="E102" s="3">
        <f>POWER(C102,$B$13)</f>
        <v>1.000000000000042</v>
      </c>
      <c r="F102" s="3">
        <f>$B$4+($B$6-$B$4)*POWER($C102,$B$13)</f>
        <v>-4.1966430330830917E-14</v>
      </c>
      <c r="G102" s="3">
        <f>IF(ABS(1-$C102)&lt;0.000001, 0, POWER(1-$C102,$B$13))</f>
        <v>0</v>
      </c>
      <c r="H102" s="3">
        <f t="shared" si="6"/>
        <v>0</v>
      </c>
    </row>
  </sheetData>
  <pageMargins left="0.7" right="0.7" top="0.75" bottom="0.75" header="0.3" footer="0.3"/>
  <pageSetup paperSize="257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29B6-6503-4FB2-A6B9-F5AB5293A12D}">
  <dimension ref="A1:B22"/>
  <sheetViews>
    <sheetView workbookViewId="0">
      <selection activeCell="B4" sqref="B4"/>
    </sheetView>
  </sheetViews>
  <sheetFormatPr defaultRowHeight="15" x14ac:dyDescent="0.25"/>
  <cols>
    <col min="1" max="1" width="15.140625" customWidth="1"/>
    <col min="2" max="2" width="15" customWidth="1"/>
  </cols>
  <sheetData>
    <row r="1" spans="1:2" x14ac:dyDescent="0.25">
      <c r="A1" t="s">
        <v>4</v>
      </c>
      <c r="B1" t="s">
        <v>5</v>
      </c>
    </row>
    <row r="2" spans="1:2" x14ac:dyDescent="0.25">
      <c r="A2" s="2">
        <v>-1</v>
      </c>
      <c r="B2">
        <f>POWER(2,-A2)</f>
        <v>2</v>
      </c>
    </row>
    <row r="3" spans="1:2" x14ac:dyDescent="0.25">
      <c r="A3" s="2">
        <f>A2+0.1</f>
        <v>-0.9</v>
      </c>
      <c r="B3">
        <f t="shared" ref="B3:B22" si="0">POWER(2,-A3)</f>
        <v>1.8660659830736148</v>
      </c>
    </row>
    <row r="4" spans="1:2" x14ac:dyDescent="0.25">
      <c r="A4" s="2">
        <f t="shared" ref="A4:A22" si="1">A3+0.1</f>
        <v>-0.8</v>
      </c>
      <c r="B4">
        <f t="shared" si="0"/>
        <v>1.7411011265922482</v>
      </c>
    </row>
    <row r="5" spans="1:2" x14ac:dyDescent="0.25">
      <c r="A5" s="2">
        <f t="shared" si="1"/>
        <v>-0.70000000000000007</v>
      </c>
      <c r="B5">
        <f t="shared" si="0"/>
        <v>1.6245047927124709</v>
      </c>
    </row>
    <row r="6" spans="1:2" x14ac:dyDescent="0.25">
      <c r="A6" s="2">
        <f t="shared" si="1"/>
        <v>-0.60000000000000009</v>
      </c>
      <c r="B6">
        <f t="shared" si="0"/>
        <v>1.5157165665103982</v>
      </c>
    </row>
    <row r="7" spans="1:2" x14ac:dyDescent="0.25">
      <c r="A7" s="2">
        <f t="shared" si="1"/>
        <v>-0.50000000000000011</v>
      </c>
      <c r="B7">
        <f t="shared" si="0"/>
        <v>1.4142135623730951</v>
      </c>
    </row>
    <row r="8" spans="1:2" x14ac:dyDescent="0.25">
      <c r="A8" s="2">
        <f t="shared" si="1"/>
        <v>-0.40000000000000013</v>
      </c>
      <c r="B8">
        <f t="shared" si="0"/>
        <v>1.3195079107728944</v>
      </c>
    </row>
    <row r="9" spans="1:2" x14ac:dyDescent="0.25">
      <c r="A9" s="2">
        <f t="shared" si="1"/>
        <v>-0.30000000000000016</v>
      </c>
      <c r="B9">
        <f t="shared" si="0"/>
        <v>1.2311444133449163</v>
      </c>
    </row>
    <row r="10" spans="1:2" x14ac:dyDescent="0.25">
      <c r="A10" s="2">
        <f t="shared" si="1"/>
        <v>-0.20000000000000015</v>
      </c>
      <c r="B10">
        <f t="shared" si="0"/>
        <v>1.1486983549970351</v>
      </c>
    </row>
    <row r="11" spans="1:2" x14ac:dyDescent="0.25">
      <c r="A11" s="2">
        <f t="shared" si="1"/>
        <v>-0.10000000000000014</v>
      </c>
      <c r="B11">
        <f t="shared" si="0"/>
        <v>1.0717734625362934</v>
      </c>
    </row>
    <row r="12" spans="1:2" x14ac:dyDescent="0.25">
      <c r="A12" s="2">
        <f t="shared" si="1"/>
        <v>-1.3877787807814457E-16</v>
      </c>
      <c r="B12">
        <f t="shared" si="0"/>
        <v>1</v>
      </c>
    </row>
    <row r="13" spans="1:2" x14ac:dyDescent="0.25">
      <c r="A13" s="2">
        <f t="shared" si="1"/>
        <v>9.9999999999999867E-2</v>
      </c>
      <c r="B13">
        <f t="shared" si="0"/>
        <v>0.93303299153680741</v>
      </c>
    </row>
    <row r="14" spans="1:2" x14ac:dyDescent="0.25">
      <c r="A14" s="2">
        <f t="shared" si="1"/>
        <v>0.19999999999999987</v>
      </c>
      <c r="B14">
        <f t="shared" si="0"/>
        <v>0.87055056329612424</v>
      </c>
    </row>
    <row r="15" spans="1:2" x14ac:dyDescent="0.25">
      <c r="A15" s="2">
        <f t="shared" si="1"/>
        <v>0.29999999999999988</v>
      </c>
      <c r="B15">
        <f t="shared" si="0"/>
        <v>0.8122523963562357</v>
      </c>
    </row>
    <row r="16" spans="1:2" x14ac:dyDescent="0.25">
      <c r="A16" s="2">
        <f t="shared" si="1"/>
        <v>0.39999999999999991</v>
      </c>
      <c r="B16">
        <f t="shared" si="0"/>
        <v>0.75785828325519911</v>
      </c>
    </row>
    <row r="17" spans="1:2" x14ac:dyDescent="0.25">
      <c r="A17" s="2">
        <f t="shared" si="1"/>
        <v>0.49999999999999989</v>
      </c>
      <c r="B17">
        <f t="shared" si="0"/>
        <v>0.70710678118654757</v>
      </c>
    </row>
    <row r="18" spans="1:2" x14ac:dyDescent="0.25">
      <c r="A18" s="2">
        <f t="shared" si="1"/>
        <v>0.59999999999999987</v>
      </c>
      <c r="B18">
        <f t="shared" si="0"/>
        <v>0.65975395538644721</v>
      </c>
    </row>
    <row r="19" spans="1:2" x14ac:dyDescent="0.25">
      <c r="A19" s="2">
        <f t="shared" si="1"/>
        <v>0.69999999999999984</v>
      </c>
      <c r="B19">
        <f t="shared" si="0"/>
        <v>0.61557220667245816</v>
      </c>
    </row>
    <row r="20" spans="1:2" x14ac:dyDescent="0.25">
      <c r="A20" s="2">
        <f t="shared" si="1"/>
        <v>0.79999999999999982</v>
      </c>
      <c r="B20">
        <f t="shared" si="0"/>
        <v>0.57434917749851755</v>
      </c>
    </row>
    <row r="21" spans="1:2" x14ac:dyDescent="0.25">
      <c r="A21" s="2">
        <f t="shared" si="1"/>
        <v>0.8999999999999998</v>
      </c>
      <c r="B21">
        <f t="shared" si="0"/>
        <v>0.53588673126814668</v>
      </c>
    </row>
    <row r="22" spans="1:2" x14ac:dyDescent="0.25">
      <c r="A22" s="2">
        <f t="shared" si="1"/>
        <v>0.99999999999999978</v>
      </c>
      <c r="B22">
        <f t="shared" si="0"/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distributionFunction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Родин</dc:creator>
  <cp:lastModifiedBy>Сергей Родин</cp:lastModifiedBy>
  <dcterms:created xsi:type="dcterms:W3CDTF">2026-02-28T13:35:03Z</dcterms:created>
  <dcterms:modified xsi:type="dcterms:W3CDTF">2026-03-01T21:15:37Z</dcterms:modified>
</cp:coreProperties>
</file>